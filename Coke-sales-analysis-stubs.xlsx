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Coke Sales Analysis Project\"/>
    </mc:Choice>
  </mc:AlternateContent>
  <xr:revisionPtr revIDLastSave="0" documentId="13_ncr:1_{83F1169C-623C-419D-80F9-95D2956C1157}" xr6:coauthVersionLast="47" xr6:coauthVersionMax="47" xr10:uidLastSave="{00000000-0000-0000-0000-000000000000}"/>
  <bookViews>
    <workbookView xWindow="-110" yWindow="-110" windowWidth="19420" windowHeight="10300" xr2:uid="{00000000-000D-0000-FFFF-FFFF00000000}"/>
  </bookViews>
  <sheets>
    <sheet name="Problem Statement" sheetId="3" r:id="rId1"/>
    <sheet name="Data" sheetId="2" r:id="rId2"/>
    <sheet name="Basic Analysis" sheetId="4" r:id="rId3"/>
    <sheet name="Intermediar Analysis" sheetId="5" r:id="rId4"/>
    <sheet name="Advanvce Analysis" sheetId="6" r:id="rId5"/>
    <sheet name="Final Statement" sheetId="8" r:id="rId6"/>
  </sheets>
  <definedNames>
    <definedName name="_xlnm._FilterDatabase" localSheetId="1" hidden="1">Data!$B$5:$M$3893</definedName>
  </definedNames>
  <calcPr calcId="191029"/>
  <pivotCaches>
    <pivotCache cacheId="19"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wl5n/6E4JEifg9kWlAttRGuttmA=="/>
    </ext>
  </extLst>
</workbook>
</file>

<file path=xl/calcChain.xml><?xml version="1.0" encoding="utf-8"?>
<calcChain xmlns="http://schemas.openxmlformats.org/spreadsheetml/2006/main">
  <c r="R3893" i="2" l="1"/>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K733" i="2"/>
  <c r="L733" i="2" s="1"/>
  <c r="L732" i="2"/>
  <c r="K732" i="2"/>
  <c r="L731" i="2"/>
  <c r="K731" i="2"/>
  <c r="L730" i="2"/>
  <c r="K730" i="2"/>
  <c r="K729" i="2"/>
  <c r="L729" i="2" s="1"/>
  <c r="L728" i="2"/>
  <c r="K728" i="2"/>
  <c r="L727" i="2"/>
  <c r="K727"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alcChain>
</file>

<file path=xl/sharedStrings.xml><?xml version="1.0" encoding="utf-8"?>
<sst xmlns="http://schemas.openxmlformats.org/spreadsheetml/2006/main" count="19706" uniqueCount="190">
  <si>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</si>
  <si>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</si>
  <si>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</si>
  <si>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</si>
  <si>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</si>
  <si>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</si>
  <si>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</si>
  <si>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</si>
  <si>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</si>
  <si>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</si>
  <si>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</si>
  <si>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</si>
  <si>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</si>
  <si>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</si>
  <si>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</si>
  <si>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</si>
  <si>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</si>
  <si>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</si>
  <si>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</si>
  <si>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</si>
  <si>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</si>
  <si>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</si>
  <si>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</si>
  <si>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</si>
  <si>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</si>
  <si>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</si>
  <si>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</si>
  <si>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</si>
  <si>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</si>
  <si>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</si>
  <si>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</si>
  <si>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</si>
  <si>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</si>
  <si>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</si>
  <si>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</si>
  <si>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</si>
  <si>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</si>
  <si>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</si>
  <si>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</si>
  <si>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</si>
  <si>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</si>
  <si>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</si>
  <si>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</si>
  <si>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</si>
  <si>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</si>
  <si>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</si>
  <si>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</si>
  <si>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</si>
  <si>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</si>
  <si>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</si>
  <si>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</si>
  <si>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</si>
  <si>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</si>
  <si>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</si>
  <si>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</si>
  <si>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</si>
  <si>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</si>
  <si>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</si>
  <si>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</si>
  <si>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</si>
  <si>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</si>
  <si>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</si>
  <si>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</si>
  <si>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</si>
  <si>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</si>
  <si>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</si>
  <si>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</si>
  <si>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</si>
  <si>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</si>
  <si>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</si>
  <si>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</si>
  <si>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</si>
  <si>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</si>
  <si>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</si>
  <si>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</si>
  <si>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</si>
  <si>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</si>
  <si>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</si>
  <si>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</si>
  <si>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</si>
  <si>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</si>
  <si>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</si>
  <si>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</si>
  <si>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</si>
  <si>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</si>
  <si>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</si>
  <si>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</si>
  <si>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</si>
  <si>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</si>
  <si>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</si>
  <si>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</si>
  <si>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</si>
  <si>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</si>
  <si>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</si>
  <si>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</si>
  <si>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</si>
  <si>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</si>
  <si>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</si>
  <si>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</si>
  <si>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</si>
  <si>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</si>
  <si>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</si>
  <si>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</si>
  <si>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</si>
  <si>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</si>
  <si>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</si>
  <si>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</si>
  <si>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</si>
  <si>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</si>
  <si>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</si>
  <si>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</si>
  <si>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</si>
  <si>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</si>
  <si>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</si>
  <si>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</si>
  <si>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</si>
  <si>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</si>
  <si>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</si>
  <si>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</si>
  <si>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</si>
  <si>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</si>
  <si>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</si>
  <si>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</si>
  <si>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</si>
  <si>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</si>
  <si>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</si>
  <si>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</si>
  <si>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</si>
  <si>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</si>
  <si>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</si>
  <si>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</si>
  <si>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Column Labels</t>
  </si>
  <si>
    <t>Grand Total</t>
  </si>
  <si>
    <t>Jan</t>
  </si>
  <si>
    <t>Feb</t>
  </si>
  <si>
    <t>Mar</t>
  </si>
  <si>
    <t>Apr</t>
  </si>
  <si>
    <t>May</t>
  </si>
  <si>
    <t>Jun</t>
  </si>
  <si>
    <t>Jul</t>
  </si>
  <si>
    <t>Aug</t>
  </si>
  <si>
    <t>Sep</t>
  </si>
  <si>
    <t>Oct</t>
  </si>
  <si>
    <t>Nov</t>
  </si>
  <si>
    <t>Dec</t>
  </si>
  <si>
    <t>Row Labels</t>
  </si>
  <si>
    <t>Sum of Total Sales</t>
  </si>
  <si>
    <t>Sum of Units Sold</t>
  </si>
  <si>
    <t>Monthly Total Sales and Units Sold</t>
  </si>
  <si>
    <t>Month</t>
  </si>
  <si>
    <t>Regional Sales Analysis</t>
  </si>
  <si>
    <t>Retailer Wise Sales Analysis</t>
  </si>
  <si>
    <r>
      <rPr>
        <b/>
        <sz val="11"/>
        <color theme="1"/>
        <rFont val="Calibri"/>
        <family val="2"/>
        <scheme val="minor"/>
      </rPr>
      <t>Data Insights:
1.</t>
    </r>
    <r>
      <rPr>
        <sz val="11"/>
        <color theme="1"/>
        <rFont val="Calibri"/>
        <family val="2"/>
        <scheme val="minor"/>
      </rPr>
      <t xml:space="preserve">Unit sales peaked in July, indicating strong mid-year demand.
</t>
    </r>
    <r>
      <rPr>
        <b/>
        <sz val="11"/>
        <color theme="1"/>
        <rFont val="Calibri"/>
        <family val="2"/>
        <scheme val="minor"/>
      </rPr>
      <t xml:space="preserve">
2</t>
    </r>
    <r>
      <rPr>
        <sz val="11"/>
        <color theme="1"/>
        <rFont val="Calibri"/>
        <family val="2"/>
        <scheme val="minor"/>
      </rPr>
      <t xml:space="preserve">.December recorded the highest total sales, likely due to holiday season demand.
</t>
    </r>
    <r>
      <rPr>
        <b/>
        <sz val="11"/>
        <color theme="1"/>
        <rFont val="Calibri"/>
        <family val="2"/>
        <scheme val="minor"/>
      </rPr>
      <t xml:space="preserve">
3</t>
    </r>
    <r>
      <rPr>
        <sz val="11"/>
        <color theme="1"/>
        <rFont val="Calibri"/>
        <family val="2"/>
        <scheme val="minor"/>
      </rPr>
      <t>.March showed the lowest sales and unit volumes, highlighting a potential off-peak period.</t>
    </r>
  </si>
  <si>
    <r>
      <rPr>
        <b/>
        <sz val="11"/>
        <color theme="1"/>
        <rFont val="Calibri"/>
        <family val="2"/>
        <scheme val="minor"/>
      </rPr>
      <t xml:space="preserve">Data Insights:
</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Sales performance was strongest in the West region.
</t>
    </r>
    <r>
      <rPr>
        <b/>
        <sz val="11"/>
        <color theme="1"/>
        <rFont val="Calibri"/>
        <family val="2"/>
        <scheme val="minor"/>
      </rPr>
      <t>2</t>
    </r>
    <r>
      <rPr>
        <sz val="11"/>
        <color theme="1"/>
        <rFont val="Calibri"/>
        <family val="2"/>
        <scheme val="minor"/>
      </rPr>
      <t>.The Midwest region showed the weakest sales, suggesting potential for targeted improvement.</t>
    </r>
  </si>
  <si>
    <r>
      <rPr>
        <b/>
        <sz val="11"/>
        <color theme="1"/>
        <rFont val="Calibri"/>
        <family val="2"/>
        <scheme val="minor"/>
      </rPr>
      <t xml:space="preserve">Data Insights:
</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Sodapop emerged as the top-performing retailer in terms of total sales.
</t>
    </r>
    <r>
      <rPr>
        <b/>
        <sz val="11"/>
        <color theme="1"/>
        <rFont val="Calibri"/>
        <family val="2"/>
        <scheme val="minor"/>
      </rPr>
      <t>2</t>
    </r>
    <r>
      <rPr>
        <sz val="11"/>
        <color theme="1"/>
        <rFont val="Calibri"/>
        <family val="2"/>
        <scheme val="minor"/>
      </rPr>
      <t xml:space="preserve">. Dream Co. reported the lowest sales, indicating potential for performance improvement.
</t>
    </r>
  </si>
  <si>
    <t>Brand Wise Sales Analysis</t>
  </si>
  <si>
    <r>
      <rPr>
        <b/>
        <sz val="11"/>
        <color theme="1"/>
        <rFont val="Calibri"/>
        <family val="2"/>
        <scheme val="minor"/>
      </rPr>
      <t>Data Insights:</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Coca-Cola registered the highest overall sales among all products.
</t>
    </r>
    <r>
      <rPr>
        <b/>
        <sz val="11"/>
        <color theme="1"/>
        <rFont val="Calibri"/>
        <family val="2"/>
        <scheme val="minor"/>
      </rPr>
      <t>2</t>
    </r>
    <r>
      <rPr>
        <sz val="11"/>
        <color theme="1"/>
        <rFont val="Calibri"/>
        <family val="2"/>
        <scheme val="minor"/>
      </rPr>
      <t>.Fanta reported the lowest sales performance during the period.</t>
    </r>
  </si>
  <si>
    <r>
      <rPr>
        <b/>
        <sz val="11"/>
        <color theme="1"/>
        <rFont val="Calibri"/>
        <family val="2"/>
        <scheme val="minor"/>
      </rPr>
      <t xml:space="preserve">Data Insights:
</t>
    </r>
    <r>
      <rPr>
        <sz val="11"/>
        <color theme="1"/>
        <rFont val="Calibri"/>
        <family val="2"/>
        <scheme val="minor"/>
      </rPr>
      <t xml:space="preserve">
1.Coca-Cola achieved the highest total sales, while Fanta recorded the lowest.
2.December and July marked peak sales months, indicating strong year-end and mid-year demand.
3.February and March saw the lowest overall sales activity.
4.Dasani Water and Diet Coke followed Coca-Cola in performance, showing solid contributions.
5.Overall, Coca-Cola maintained consistent leadership across all months, highlighting strong brand stability.</t>
    </r>
  </si>
  <si>
    <r>
      <rPr>
        <b/>
        <sz val="11"/>
        <color theme="1"/>
        <rFont val="Calibri"/>
        <family val="2"/>
        <scheme val="minor"/>
      </rPr>
      <t>Data Insights:</t>
    </r>
    <r>
      <rPr>
        <sz val="11"/>
        <color theme="1"/>
        <rFont val="Calibri"/>
        <family val="2"/>
        <scheme val="minor"/>
      </rPr>
      <t xml:space="preserve">
1.West region dominates with the highest total sales of $28.35M.
2.Midwest shows the lowest total sales of $11.50M.
3.December records the highest monthly sales ($10.45M), followed closely by July.
4.March shows the lowest sales performance ($4.83M).
5.Sales show a steady rise from April to July, peaking mid-year and again in December.
6.Northeast and Southeast regions also perform strongly, contributing significant mid-tier sales.</t>
    </r>
  </si>
  <si>
    <t>Monthly Regional Sales Performance</t>
  </si>
  <si>
    <t>Monthly Beverage Brand Sales Performance</t>
  </si>
  <si>
    <r>
      <rPr>
        <b/>
        <sz val="11"/>
        <color theme="1"/>
        <rFont val="Calibri"/>
        <family val="2"/>
        <scheme val="minor"/>
      </rPr>
      <t>Data Insights:</t>
    </r>
    <r>
      <rPr>
        <sz val="11"/>
        <color theme="1"/>
        <rFont val="Calibri"/>
        <scheme val="minor"/>
      </rPr>
      <t xml:space="preserve">
1.Sodapop leads with the highest total sales of $44.03M, dominating the market.
2.DreamCo shows the lowest sales at $4.04M, indicating limited market reach.
3.FizzySip performs strongly with $25.84M, holding a solid mid-tier position.
4.BevCo contributes $12.91M, showing moderate sales performance.
5.December records the highest sales month ($10.45M), followed by July.
6.March shows the lowest overall sales ($4.83M).</t>
    </r>
  </si>
  <si>
    <t>Monthly Beverage Brand Sales Analysis</t>
  </si>
  <si>
    <t>Regional Beverage Brand Sales Performance</t>
  </si>
  <si>
    <r>
      <rPr>
        <b/>
        <sz val="11"/>
        <color theme="1"/>
        <rFont val="Calibri"/>
        <family val="2"/>
        <scheme val="minor"/>
      </rPr>
      <t>Data Insights:</t>
    </r>
    <r>
      <rPr>
        <sz val="11"/>
        <color theme="1"/>
        <rFont val="Calibri"/>
        <scheme val="minor"/>
      </rPr>
      <t xml:space="preserve">
1.West region leads significantly with $28.35M in total sales — the strongest performing market for all brands.
2.Northeast follows with $17.88M, showing strong consumer demand.
3.Coca-Cola dominates all brands with $20.15M total sales, followed by Dasani Water ($17.25M).
4.Fanta has the lowest total sales among all brands at $10.31M.
5.Each brand’s highest contribution comes from the West region, indicating major sales concentration there.</t>
    </r>
  </si>
  <si>
    <t>Regional Performance by Retailer</t>
  </si>
  <si>
    <r>
      <rPr>
        <b/>
        <sz val="11"/>
        <color theme="1"/>
        <rFont val="Calibri"/>
        <family val="2"/>
        <scheme val="minor"/>
      </rPr>
      <t xml:space="preserve">Data Insights:
</t>
    </r>
    <r>
      <rPr>
        <sz val="11"/>
        <color theme="1"/>
        <rFont val="Calibri"/>
        <family val="2"/>
        <scheme val="minor"/>
      </rPr>
      <t xml:space="preserve">
1.Sodapop dominates sales with a total of $44.03M, performing strongly across all regions — especially in the Northeast ($17.88M) and West ($28.35M).
2.FizzySip follows with $25.84M, driven primarily by sales in the West region.
3.BevCo sales are entirely concentrated in the South region ($12.91M), showing a narrow market presence.
4.DreamCo contributes $4.04M, with notable performance in the Midwest ($1.53M) and West ($2.50M).
5.Overall, the West region is the strongest market, contributing $28.35M — the highest among all regions.</t>
    </r>
  </si>
  <si>
    <t>Regional Beverage Brand-wise Monthly Sales Analysis</t>
  </si>
  <si>
    <t>Region/Beverage Brand</t>
  </si>
  <si>
    <r>
      <rPr>
        <b/>
        <sz val="11"/>
        <color theme="1"/>
        <rFont val="Calibri"/>
        <family val="2"/>
        <scheme val="minor"/>
      </rPr>
      <t>Data Insights:</t>
    </r>
    <r>
      <rPr>
        <sz val="11"/>
        <color theme="1"/>
        <rFont val="Calibri"/>
        <family val="2"/>
        <scheme val="minor"/>
      </rPr>
      <t xml:space="preserve">
1.West region dominates total sales, contributing the highest revenue across all regions.
2.Coca-Cola and Dasani Water are the top-performing brands, showing strong and consistent sales across multiple regions.
3.Southeast and Northeast regions follow as key contributors after the West, indicating solid regional performance.
4.Midwest records the lowest sales, highlighting an opportunity for market growth and promotion.
5.Fanta and Diet Coke have lower overall sales compared to other beverage brands, suggesting potential for product improvement or better marketing.
6.Sales peak in December, indicating strong year-end demand across most regions and brands.</t>
    </r>
  </si>
  <si>
    <t>Retailer-wise Beverage Brand Performance</t>
  </si>
  <si>
    <r>
      <rPr>
        <b/>
        <sz val="11"/>
        <color theme="1"/>
        <rFont val="Calibri"/>
        <family val="2"/>
        <scheme val="minor"/>
      </rPr>
      <t>Data Insights:</t>
    </r>
    <r>
      <rPr>
        <sz val="11"/>
        <color theme="1"/>
        <rFont val="Calibri"/>
        <family val="2"/>
        <scheme val="minor"/>
      </rPr>
      <t xml:space="preserve">
1.Sodapop leads the market with 91.5 lakh+ units sold, accounting for over half of total sales volume.
2.FizzySip follows with 41.1 lakh units, while BevCo and DreamCo trail behind at 30.6 lakh and 8.2 lakh units, respectively.
3.Coca-Cola is the top-selling brand across all retailers, followed by Dasani Water and Diet Coke.
4.DreamCo has the lowest sales volume, indicating lower brand penetration or market reach.</t>
    </r>
  </si>
  <si>
    <t>Final Insights &amp; Conclusion</t>
  </si>
  <si>
    <t>1. Retailer Performance:</t>
  </si>
  <si>
    <t>Sodapop emerges as the top-performing retailer, contributing over 50% of total units sold, followed by FizzySip, while DreamCo shows the lowest sales volume, signaling growth potential through marketing or distribution expansion.</t>
  </si>
  <si>
    <t>2.Regional Insights:</t>
  </si>
  <si>
    <t>i) The West region records the highest total sales, indicating strong market demand and efficient distribution.</t>
  </si>
  <si>
    <t>ii)The South and Midwest regions show moderate sales, whereas the Northeast presents opportunities for better retailer partnerships and localized campaigns.</t>
  </si>
  <si>
    <t>3.Brand Performance:</t>
  </si>
  <si>
    <t>i)Coca-Cola Classic leads sales volume across most retailers, reaffirming strong brand loyalty.</t>
  </si>
  <si>
    <t>ii)Diet Coke and Sprite maintain steady performance, while Powerade and Fanta could benefit from targeted promotions to boost visibility and volume.</t>
  </si>
  <si>
    <t>4.Sales Trend Analysis:</t>
  </si>
  <si>
    <t>i)Monthly data shows consistent sales growth in mid-year months (May–August), aligning with summer demand for beverages.</t>
  </si>
  <si>
    <t>ii)A slight dip in early months suggests potential for seasonal marketing drives.</t>
  </si>
  <si>
    <t>5.Profitability &amp; Operational Insights:</t>
  </si>
  <si>
    <t>i)Regions with higher volume (like the West and Southeast) align with better operating margins, indicating that scale contributes
 positively to profitability.</t>
  </si>
  <si>
    <t>ii)Retailers with lower sales volumes might face higher per-unit operational costs, emphasizing the need for efficiency 
improvements.</t>
  </si>
  <si>
    <t>Overall Conclusion</t>
  </si>
  <si>
    <t>Coca-Cola’s market presence remains robust, driven largely by Sodapop and the Western region. However, 
opportunities exist in underperforming retailers and regions where promotional strategies, optimized pricing, and better distribution planning can enhance both sales volume and margins.</t>
  </si>
  <si>
    <r>
      <rPr>
        <b/>
        <sz val="14"/>
        <color theme="1"/>
        <rFont val="Calibri"/>
        <family val="2"/>
        <scheme val="minor"/>
      </rPr>
      <t>Project Description:</t>
    </r>
    <r>
      <rPr>
        <sz val="14"/>
        <color theme="1"/>
        <rFont val="Calibri"/>
        <family val="2"/>
        <scheme val="minor"/>
      </rPr>
      <t xml:space="preserve">
This project focuses on analyzing Coca-Cola sales data across key American retailers using Excel. The objective is to extract actionable insights from transactional and operational metrics like total sales, units sold, and operating margin. The analysis dives into regional performance, retailer efficiency, and sales trends to identify areas of strength and opportunities for improvement.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</si>
</sst>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quot;$&quot;#,##0.0_);[Red]\(&quot;$&quot;#,##0.0\)"/>
  </numFmts>
  <fonts count="10" x14ac:knownFonts="1">
    <font>
      <sz val="11"/>
      <color theme="1"/>
      <name val="Calibri"/>
      <scheme val="minor"/>
    </font>
    <font>
      <sz val="11"/>
      <color theme="1"/>
      <name val="Calibri"/>
      <family val="2"/>
      <scheme val="minor"/>
    </font>
    <font>
      <sz val="11"/>
      <color theme="1"/>
      <name val="Calibri"/>
    </font>
    <font>
      <b/>
      <sz val="18"/>
      <color rgb="FF2A3E68"/>
      <name val="Calibri"/>
    </font>
    <font>
      <b/>
      <sz val="12"/>
      <color rgb="FF2A3E68"/>
      <name val="Calibri"/>
    </font>
    <font>
      <sz val="11"/>
      <color theme="0"/>
      <name val="Calibri"/>
    </font>
    <font>
      <b/>
      <sz val="11"/>
      <color theme="1"/>
      <name val="Calibri"/>
      <family val="2"/>
      <scheme val="minor"/>
    </font>
    <font>
      <b/>
      <sz val="13.5"/>
      <color theme="1"/>
      <name val="Calibri"/>
      <family val="2"/>
      <scheme val="minor"/>
    </font>
    <font>
      <sz val="14"/>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2A3E68"/>
        <bgColor rgb="FF2A3E68"/>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C00000"/>
        <bgColor indexed="64"/>
      </patternFill>
    </fill>
  </fills>
  <borders count="15">
    <border>
      <left/>
      <right/>
      <top/>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9">
    <xf numFmtId="0" fontId="0" fillId="0" borderId="0" xfId="0"/>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165" fontId="2" fillId="0" borderId="0" xfId="0" applyNumberFormat="1" applyFont="1" applyAlignment="1">
      <alignment horizontal="center"/>
    </xf>
    <xf numFmtId="3" fontId="2" fillId="0" borderId="0" xfId="0" applyNumberFormat="1" applyFont="1" applyAlignment="1">
      <alignment horizontal="center"/>
    </xf>
    <xf numFmtId="164"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165" fontId="2" fillId="0" borderId="0" xfId="0" applyNumberFormat="1" applyFont="1"/>
    <xf numFmtId="10" fontId="2" fillId="0" borderId="0" xfId="0" applyNumberFormat="1" applyFont="1"/>
    <xf numFmtId="14" fontId="2" fillId="0" borderId="0" xfId="0" applyNumberFormat="1" applyFont="1"/>
    <xf numFmtId="166" fontId="2" fillId="0" borderId="0" xfId="0" applyNumberFormat="1" applyFont="1"/>
    <xf numFmtId="0" fontId="0" fillId="0" borderId="0" xfId="0" applyAlignment="1"/>
    <xf numFmtId="0" fontId="0" fillId="0" borderId="1" xfId="0" applyBorder="1"/>
    <xf numFmtId="0" fontId="0" fillId="3" borderId="3" xfId="0" applyFill="1" applyBorder="1" applyAlignment="1">
      <alignment horizontal="center"/>
    </xf>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1" xfId="0" applyFill="1" applyBorder="1"/>
    <xf numFmtId="0" fontId="0" fillId="4" borderId="8" xfId="0" applyFill="1" applyBorder="1"/>
    <xf numFmtId="0" fontId="0" fillId="4" borderId="9" xfId="0" applyFill="1" applyBorder="1"/>
    <xf numFmtId="0" fontId="0" fillId="4" borderId="10" xfId="0" applyFill="1" applyBorder="1"/>
    <xf numFmtId="0" fontId="0" fillId="4" borderId="11" xfId="0" applyFill="1" applyBorder="1"/>
    <xf numFmtId="0" fontId="0" fillId="5" borderId="3" xfId="0" applyFill="1" applyBorder="1"/>
    <xf numFmtId="0" fontId="0" fillId="5" borderId="3" xfId="0" applyFill="1" applyBorder="1" applyAlignment="1">
      <alignment horizontal="left"/>
    </xf>
    <xf numFmtId="164" fontId="0" fillId="5" borderId="3" xfId="0" applyNumberFormat="1" applyFill="1" applyBorder="1"/>
    <xf numFmtId="3" fontId="0" fillId="5" borderId="3" xfId="0" applyNumberFormat="1" applyFill="1" applyBorder="1"/>
    <xf numFmtId="0" fontId="0" fillId="6" borderId="3" xfId="0" applyFill="1" applyBorder="1"/>
    <xf numFmtId="0" fontId="0" fillId="6" borderId="3" xfId="0" applyFill="1" applyBorder="1" applyAlignment="1">
      <alignment horizontal="left"/>
    </xf>
    <xf numFmtId="164" fontId="0" fillId="6" borderId="3" xfId="0" applyNumberFormat="1" applyFill="1" applyBorder="1"/>
    <xf numFmtId="3" fontId="0" fillId="6" borderId="3" xfId="0" applyNumberFormat="1" applyFill="1" applyBorder="1"/>
    <xf numFmtId="0" fontId="0" fillId="3" borderId="14" xfId="0" applyFill="1" applyBorder="1" applyAlignment="1">
      <alignment horizontal="center"/>
    </xf>
    <xf numFmtId="0" fontId="0" fillId="3" borderId="13" xfId="0" applyFill="1" applyBorder="1" applyAlignment="1">
      <alignment horizontal="center"/>
    </xf>
    <xf numFmtId="10" fontId="0" fillId="6" borderId="3" xfId="0" applyNumberFormat="1" applyFill="1" applyBorder="1"/>
    <xf numFmtId="10" fontId="0" fillId="5" borderId="3" xfId="0" applyNumberFormat="1" applyFill="1" applyBorder="1"/>
    <xf numFmtId="0" fontId="0" fillId="4" borderId="0" xfId="0" applyFill="1"/>
    <xf numFmtId="0" fontId="0" fillId="6" borderId="1" xfId="0" applyFill="1" applyBorder="1"/>
    <xf numFmtId="0" fontId="0" fillId="5" borderId="1" xfId="0" applyFill="1" applyBorder="1" applyAlignment="1">
      <alignment horizontal="left"/>
    </xf>
    <xf numFmtId="164" fontId="0" fillId="5" borderId="1" xfId="0" applyNumberFormat="1" applyFill="1" applyBorder="1"/>
    <xf numFmtId="3" fontId="0" fillId="5" borderId="1" xfId="0" applyNumberFormat="1" applyFill="1" applyBorder="1"/>
    <xf numFmtId="0" fontId="0" fillId="6" borderId="1" xfId="0" applyFill="1" applyBorder="1" applyAlignment="1">
      <alignment horizontal="left"/>
    </xf>
    <xf numFmtId="164" fontId="0" fillId="6" borderId="1" xfId="0" applyNumberFormat="1" applyFill="1" applyBorder="1"/>
    <xf numFmtId="3" fontId="0" fillId="6" borderId="1" xfId="0" applyNumberFormat="1" applyFill="1" applyBorder="1"/>
    <xf numFmtId="0" fontId="1" fillId="5" borderId="4" xfId="0" applyFont="1" applyFill="1" applyBorder="1" applyAlignment="1">
      <alignment horizontal="left" wrapText="1"/>
    </xf>
    <xf numFmtId="0" fontId="1" fillId="5" borderId="5" xfId="0" applyFont="1" applyFill="1" applyBorder="1" applyAlignment="1">
      <alignment horizontal="left" wrapText="1"/>
    </xf>
    <xf numFmtId="0" fontId="1" fillId="5" borderId="6" xfId="0" applyFont="1" applyFill="1" applyBorder="1" applyAlignment="1">
      <alignment horizontal="left" wrapText="1"/>
    </xf>
    <xf numFmtId="0" fontId="1" fillId="5" borderId="7" xfId="0" applyFont="1" applyFill="1" applyBorder="1" applyAlignment="1">
      <alignment horizontal="left" wrapText="1"/>
    </xf>
    <xf numFmtId="0" fontId="1" fillId="5" borderId="1" xfId="0" applyFont="1" applyFill="1" applyBorder="1" applyAlignment="1">
      <alignment horizontal="left" wrapText="1"/>
    </xf>
    <xf numFmtId="0" fontId="1" fillId="5" borderId="8" xfId="0" applyFont="1" applyFill="1" applyBorder="1" applyAlignment="1">
      <alignment horizontal="left" wrapText="1"/>
    </xf>
    <xf numFmtId="0" fontId="1" fillId="5" borderId="9" xfId="0" applyFont="1" applyFill="1" applyBorder="1" applyAlignment="1">
      <alignment horizontal="left" wrapText="1"/>
    </xf>
    <xf numFmtId="0" fontId="1" fillId="5" borderId="10" xfId="0" applyFont="1" applyFill="1" applyBorder="1" applyAlignment="1">
      <alignment horizontal="left" wrapText="1"/>
    </xf>
    <xf numFmtId="0" fontId="1" fillId="5" borderId="11" xfId="0" applyFont="1" applyFill="1" applyBorder="1" applyAlignment="1">
      <alignment horizontal="left" wrapText="1"/>
    </xf>
    <xf numFmtId="0" fontId="6" fillId="3" borderId="12" xfId="0" applyFont="1" applyFill="1" applyBorder="1" applyAlignment="1">
      <alignment horizontal="center"/>
    </xf>
    <xf numFmtId="0" fontId="6" fillId="3" borderId="14" xfId="0" applyFont="1" applyFill="1" applyBorder="1" applyAlignment="1">
      <alignment horizontal="center"/>
    </xf>
    <xf numFmtId="0" fontId="6" fillId="3" borderId="13" xfId="0" applyFont="1" applyFill="1" applyBorder="1" applyAlignment="1">
      <alignment horizontal="center"/>
    </xf>
    <xf numFmtId="0" fontId="1" fillId="4" borderId="1" xfId="0" applyFont="1" applyFill="1" applyBorder="1" applyAlignment="1">
      <alignment horizontal="left"/>
    </xf>
    <xf numFmtId="0" fontId="1" fillId="4" borderId="1" xfId="0" applyFont="1" applyFill="1" applyBorder="1" applyAlignment="1">
      <alignment horizontal="left" vertical="top" wrapText="1"/>
    </xf>
    <xf numFmtId="0" fontId="1" fillId="4" borderId="1" xfId="0" applyFont="1" applyFill="1" applyBorder="1" applyAlignment="1">
      <alignment vertical="top" wrapText="1"/>
    </xf>
    <xf numFmtId="0" fontId="1" fillId="5" borderId="1" xfId="0" applyFont="1" applyFill="1" applyBorder="1" applyAlignment="1">
      <alignment horizontal="left" vertical="top" wrapText="1"/>
    </xf>
    <xf numFmtId="0" fontId="1" fillId="5" borderId="4" xfId="0" applyFont="1" applyFill="1" applyBorder="1" applyAlignment="1">
      <alignment horizontal="left" vertical="top" wrapText="1"/>
    </xf>
    <xf numFmtId="0" fontId="1" fillId="5" borderId="6"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5" borderId="8" xfId="0" applyFont="1" applyFill="1" applyBorder="1" applyAlignment="1">
      <alignment horizontal="left" vertical="top" wrapText="1"/>
    </xf>
    <xf numFmtId="0" fontId="1" fillId="5" borderId="9" xfId="0" applyFont="1" applyFill="1" applyBorder="1" applyAlignment="1">
      <alignment horizontal="left" vertical="top" wrapText="1"/>
    </xf>
    <xf numFmtId="0" fontId="1" fillId="5" borderId="11" xfId="0" applyFont="1" applyFill="1" applyBorder="1" applyAlignment="1">
      <alignment horizontal="left" vertical="top" wrapText="1"/>
    </xf>
    <xf numFmtId="0" fontId="1" fillId="3" borderId="12" xfId="0" applyFont="1" applyFill="1" applyBorder="1" applyAlignment="1">
      <alignment horizontal="center"/>
    </xf>
    <xf numFmtId="0" fontId="1" fillId="3" borderId="14" xfId="0" applyFont="1" applyFill="1" applyBorder="1" applyAlignment="1">
      <alignment horizontal="center"/>
    </xf>
    <xf numFmtId="0" fontId="1" fillId="3" borderId="13" xfId="0" applyFont="1" applyFill="1" applyBorder="1" applyAlignment="1">
      <alignment horizontal="center"/>
    </xf>
    <xf numFmtId="0" fontId="0" fillId="5" borderId="1" xfId="0" applyFill="1" applyBorder="1" applyAlignment="1">
      <alignment horizontal="left" vertical="top"/>
    </xf>
    <xf numFmtId="0" fontId="1" fillId="5" borderId="5" xfId="0" applyFont="1" applyFill="1" applyBorder="1" applyAlignment="1">
      <alignment horizontal="left" vertical="top" wrapText="1"/>
    </xf>
    <xf numFmtId="0" fontId="1" fillId="5" borderId="10" xfId="0" applyFont="1" applyFill="1" applyBorder="1" applyAlignment="1">
      <alignment horizontal="left" vertical="top" wrapText="1"/>
    </xf>
    <xf numFmtId="0" fontId="0" fillId="5" borderId="5" xfId="0" applyFill="1" applyBorder="1" applyAlignment="1">
      <alignment horizontal="left" vertical="top"/>
    </xf>
    <xf numFmtId="0" fontId="0" fillId="5" borderId="6" xfId="0" applyFill="1" applyBorder="1" applyAlignment="1">
      <alignment horizontal="left" vertical="top"/>
    </xf>
    <xf numFmtId="0" fontId="0" fillId="5" borderId="7" xfId="0" applyFill="1" applyBorder="1" applyAlignment="1">
      <alignment horizontal="left" vertical="top"/>
    </xf>
    <xf numFmtId="0" fontId="0" fillId="5" borderId="8" xfId="0" applyFill="1" applyBorder="1" applyAlignment="1">
      <alignment horizontal="left" vertical="top"/>
    </xf>
    <xf numFmtId="0" fontId="0" fillId="5" borderId="9" xfId="0" applyFill="1" applyBorder="1" applyAlignment="1">
      <alignment horizontal="left" vertical="top"/>
    </xf>
    <xf numFmtId="0" fontId="0" fillId="5" borderId="10" xfId="0" applyFill="1" applyBorder="1" applyAlignment="1">
      <alignment horizontal="left" vertical="top"/>
    </xf>
    <xf numFmtId="0" fontId="0" fillId="5" borderId="11" xfId="0" applyFill="1" applyBorder="1" applyAlignment="1">
      <alignment horizontal="left" vertical="top"/>
    </xf>
    <xf numFmtId="0" fontId="0" fillId="0" borderId="0" xfId="0" applyAlignment="1">
      <alignment vertical="top"/>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10" xfId="0" applyFont="1" applyFill="1" applyBorder="1" applyAlignment="1">
      <alignment horizontal="left" vertical="top" wrapText="1"/>
    </xf>
    <xf numFmtId="0" fontId="1" fillId="3" borderId="11" xfId="0" applyFont="1" applyFill="1" applyBorder="1" applyAlignment="1">
      <alignment horizontal="left" vertical="top" wrapText="1"/>
    </xf>
    <xf numFmtId="0" fontId="0" fillId="4" borderId="10" xfId="0" applyFill="1" applyBorder="1" applyAlignment="1">
      <alignment vertical="top"/>
    </xf>
    <xf numFmtId="0" fontId="0" fillId="4" borderId="1" xfId="0" applyFill="1" applyBorder="1" applyAlignment="1">
      <alignment vertical="top"/>
    </xf>
    <xf numFmtId="0" fontId="6" fillId="3" borderId="3" xfId="0" applyFont="1" applyFill="1" applyBorder="1" applyAlignment="1">
      <alignment horizontal="center"/>
    </xf>
    <xf numFmtId="0" fontId="0" fillId="4" borderId="1" xfId="0" applyFill="1" applyBorder="1" applyAlignment="1">
      <alignment horizontal="left" vertical="center" indent="1"/>
    </xf>
    <xf numFmtId="0" fontId="6" fillId="4" borderId="1" xfId="0" applyFont="1" applyFill="1" applyBorder="1" applyAlignment="1">
      <alignment horizontal="center"/>
    </xf>
    <xf numFmtId="0" fontId="1" fillId="4" borderId="1" xfId="0" applyFont="1" applyFill="1" applyBorder="1" applyAlignment="1"/>
    <xf numFmtId="0" fontId="6" fillId="4" borderId="1" xfId="0" applyFont="1" applyFill="1" applyBorder="1" applyAlignment="1">
      <alignment horizontal="left"/>
    </xf>
    <xf numFmtId="0" fontId="1" fillId="4" borderId="1" xfId="0" applyFont="1" applyFill="1" applyBorder="1" applyAlignment="1">
      <alignment horizontal="left" vertical="top"/>
    </xf>
    <xf numFmtId="0" fontId="6" fillId="4" borderId="1" xfId="0" applyFont="1" applyFill="1" applyBorder="1" applyAlignment="1">
      <alignment horizontal="left" vertical="top"/>
    </xf>
    <xf numFmtId="0" fontId="7" fillId="7" borderId="12"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3" xfId="0" applyFont="1" applyFill="1" applyBorder="1" applyAlignment="1">
      <alignment horizontal="center" vertical="center"/>
    </xf>
    <xf numFmtId="0" fontId="1" fillId="7" borderId="12" xfId="0" applyFont="1" applyFill="1" applyBorder="1" applyAlignment="1">
      <alignment horizontal="center"/>
    </xf>
    <xf numFmtId="0" fontId="1" fillId="7" borderId="14" xfId="0" applyFont="1" applyFill="1" applyBorder="1" applyAlignment="1">
      <alignment horizontal="center"/>
    </xf>
    <xf numFmtId="0" fontId="1" fillId="7" borderId="13" xfId="0" applyFont="1" applyFill="1" applyBorder="1" applyAlignment="1">
      <alignment horizontal="center"/>
    </xf>
    <xf numFmtId="0" fontId="8" fillId="4" borderId="1" xfId="0" applyFont="1" applyFill="1" applyBorder="1" applyAlignment="1">
      <alignment horizontal="left" vertical="top" wrapText="1"/>
    </xf>
    <xf numFmtId="0" fontId="8" fillId="4" borderId="4"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4" borderId="6" xfId="0" applyFont="1" applyFill="1" applyBorder="1" applyAlignment="1">
      <alignment horizontal="left" vertical="top" wrapText="1"/>
    </xf>
    <xf numFmtId="0" fontId="8" fillId="4" borderId="7" xfId="0" applyFont="1" applyFill="1" applyBorder="1" applyAlignment="1">
      <alignment horizontal="left" vertical="top" wrapText="1"/>
    </xf>
    <xf numFmtId="0" fontId="8" fillId="4" borderId="8" xfId="0" applyFont="1" applyFill="1" applyBorder="1" applyAlignment="1">
      <alignment horizontal="left" vertical="top" wrapText="1"/>
    </xf>
    <xf numFmtId="0" fontId="8" fillId="4" borderId="9" xfId="0" applyFont="1" applyFill="1" applyBorder="1" applyAlignment="1">
      <alignment horizontal="left" vertical="top" wrapText="1"/>
    </xf>
    <xf numFmtId="0" fontId="8" fillId="4" borderId="10" xfId="0" applyFont="1" applyFill="1" applyBorder="1" applyAlignment="1">
      <alignment horizontal="left" vertical="top" wrapText="1"/>
    </xf>
    <xf numFmtId="0" fontId="8" fillId="4" borderId="11" xfId="0" applyFont="1" applyFill="1" applyBorder="1" applyAlignment="1">
      <alignment horizontal="left" vertical="top" wrapText="1"/>
    </xf>
  </cellXfs>
  <cellStyles count="1">
    <cellStyle name="Normal" xfId="0" builtinId="0"/>
  </cellStyles>
  <dxfs count="317">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3999755851924192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fgColor theme="7" tint="0.39997558519241921"/>
        </patternFill>
      </fill>
      <alignment horizontal="left"/>
    </dxf>
    <dxf>
      <fill>
        <patternFill>
          <fgColor theme="7" tint="0.39997558519241921"/>
        </patternFill>
      </fill>
      <alignment horizontal="lef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fill>
        <patternFill>
          <bgColor theme="4" tint="0.79998168889431442"/>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[Coke-sales-analysis-stubs.xlsx]Basic Analysis!PivotTable1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Analysis'!$D$5</c:f>
              <c:strCache>
                <c:ptCount val="1"/>
                <c:pt idx="0">
                  <c:v>Sum of Total Sales</c:v>
                </c:pt>
              </c:strCache>
            </c:strRef>
          </c:tx>
          <c:spPr>
            <a:solidFill>
              <a:schemeClr val="accent1"/>
            </a:solidFill>
            <a:ln>
              <a:noFill/>
            </a:ln>
            <a:effectLst/>
          </c:spPr>
          <c:invertIfNegative val="0"/>
          <c:cat>
            <c:strRef>
              <c:f>'Basic Analysis'!$C$6:$C$18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'Basic Analysis'!$D$6:$D$18</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E045-427C-97FD-BD7003120790}"/>
            </c:ext>
          </c:extLst>
        </c:ser>
        <c:ser>
          <c:idx val="1"/>
          <c:order val="1"/>
          <c:tx>
            <c:strRef>
              <c:f>'Basic Analysis'!$E$5</c:f>
              <c:strCache>
                <c:ptCount val="1"/>
                <c:pt idx="0">
                  <c:v>Sum of Units Sold</c:v>
                </c:pt>
              </c:strCache>
            </c:strRef>
          </c:tx>
          <c:spPr>
            <a:solidFill>
              <a:schemeClr val="accent2"/>
            </a:solidFill>
            <a:ln>
              <a:noFill/>
            </a:ln>
            <a:effectLst/>
          </c:spPr>
          <c:invertIfNegative val="0"/>
          <c:cat>
            <c:strRef>
              <c:f>'Basic Analysis'!$C$6:$C$18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'Basic Analysis'!$E$6:$E$18</c:f>
              <c:numCache>
                <c:formatCode>#,##0</c:formatCode>
                <c:ptCount val="12"/>
                <c:pt idx="0">
                  <c:v>1347750</c:v>
                </c:pt>
                <c:pt idx="1">
                  <c:v>1274250</c:v>
                </c:pt>
                <c:pt idx="2">
                  <c:v>1204250</c:v>
                </c:pt>
                <c:pt idx="3">
                  <c:v>1175750</c:v>
                </c:pt>
                <c:pt idx="4">
                  <c:v>1355000</c:v>
                </c:pt>
                <c:pt idx="5">
                  <c:v>1624750</c:v>
                </c:pt>
                <c:pt idx="6">
                  <c:v>1762500</c:v>
                </c:pt>
                <c:pt idx="7">
                  <c:v>1654000</c:v>
                </c:pt>
                <c:pt idx="8">
                  <c:v>1377250</c:v>
                </c:pt>
                <c:pt idx="9">
                  <c:v>1253250</c:v>
                </c:pt>
                <c:pt idx="10">
                  <c:v>1442500</c:v>
                </c:pt>
                <c:pt idx="11">
                  <c:v>1677000</c:v>
                </c:pt>
              </c:numCache>
            </c:numRef>
          </c:val>
          <c:extLst>
            <c:ext xmlns:c16="http://schemas.microsoft.com/office/drawing/2014/chart" uri="{C3380CC4-5D6E-409C-BE32-E72D297353CC}">
              <c16:uniqueId val="{00000001-E045-427C-97FD-BD7003120790}"/>
            </c:ext>
          </c:extLst>
        </c:ser>
        <c:dLbls>
          <c:showLegendKey val="0"/>
          <c:showVal val="0"/>
          <c:showCatName val="0"/>
          <c:showSerName val="0"/>
          <c:showPercent val="0"/>
          <c:showBubbleSize val="0"/>
        </c:dLbls>
        <c:gapWidth val="219"/>
        <c:overlap val="-27"/>
        <c:axId val="772169200"/>
        <c:axId val="772161040"/>
      </c:barChart>
      <c:catAx>
        <c:axId val="7721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61040"/>
        <c:crosses val="autoZero"/>
        <c:auto val="1"/>
        <c:lblAlgn val="ctr"/>
        <c:lblOffset val="100"/>
        <c:noMultiLvlLbl val="0"/>
      </c:catAx>
      <c:valAx>
        <c:axId val="772161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6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[Coke-sales-analysis-stubs.xlsx]Basic Analysis!PivotTable2</c:name>
    <c:fmtId val="6"/>
  </c:pivotSource>
  <c:chart>
    <c:title>
      <c:tx>
        <c:rich>
          <a:bodyPr rot="0" spcFirstLastPara="1" vertOverflow="ellipsis" vert="horz" wrap="square" anchor="t" anchorCtr="0"/>
          <a:lstStyle/>
          <a:p>
            <a:pPr>
              <a:defRPr sz="1400" b="0" i="0" u="none" strike="noStrike" kern="1200" spc="0" baseline="0">
                <a:ln w="9525">
                  <a:solidFill>
                    <a:schemeClr val="tx2">
                      <a:lumMod val="95000"/>
                      <a:lumOff val="5000"/>
                    </a:schemeClr>
                  </a:solidFill>
                </a:ln>
                <a:solidFill>
                  <a:schemeClr val="tx2">
                    <a:lumMod val="95000"/>
                    <a:lumOff val="5000"/>
                  </a:schemeClr>
                </a:solidFill>
                <a:latin typeface="+mn-lt"/>
                <a:ea typeface="+mn-ea"/>
                <a:cs typeface="+mn-cs"/>
              </a:defRPr>
            </a:pPr>
            <a:r>
              <a:rPr lang="en-US">
                <a:ln w="9525">
                  <a:solidFill>
                    <a:schemeClr val="tx2">
                      <a:lumMod val="95000"/>
                      <a:lumOff val="5000"/>
                    </a:schemeClr>
                  </a:solidFill>
                </a:ln>
                <a:solidFill>
                  <a:schemeClr val="tx2">
                    <a:lumMod val="95000"/>
                    <a:lumOff val="5000"/>
                  </a:schemeClr>
                </a:solidFill>
              </a:rPr>
              <a:t>Total</a:t>
            </a:r>
            <a:r>
              <a:rPr lang="en-US" baseline="0">
                <a:ln w="9525">
                  <a:solidFill>
                    <a:schemeClr val="tx2">
                      <a:lumMod val="95000"/>
                      <a:lumOff val="5000"/>
                    </a:schemeClr>
                  </a:solidFill>
                </a:ln>
                <a:solidFill>
                  <a:schemeClr val="tx2">
                    <a:lumMod val="95000"/>
                    <a:lumOff val="5000"/>
                  </a:schemeClr>
                </a:solidFill>
              </a:rPr>
              <a:t> Sales</a:t>
            </a:r>
            <a:endParaRPr lang="en-US">
              <a:ln w="9525">
                <a:solidFill>
                  <a:schemeClr val="tx2">
                    <a:lumMod val="95000"/>
                    <a:lumOff val="5000"/>
                  </a:schemeClr>
                </a:solidFill>
              </a:ln>
              <a:solidFill>
                <a:schemeClr val="tx2">
                  <a:lumMod val="95000"/>
                  <a:lumOff val="5000"/>
                </a:schemeClr>
              </a:solidFill>
            </a:endParaRPr>
          </a:p>
        </c:rich>
      </c:tx>
      <c:overlay val="0"/>
      <c:spPr>
        <a:noFill/>
        <a:ln>
          <a:solidFill>
            <a:schemeClr val="tx2">
              <a:lumMod val="95000"/>
              <a:lumOff val="5000"/>
            </a:schemeClr>
          </a:solidFill>
        </a:ln>
        <a:effectLst/>
      </c:spPr>
      <c:txPr>
        <a:bodyPr rot="0" spcFirstLastPara="1" vertOverflow="ellipsis" vert="horz" wrap="square" anchor="t" anchorCtr="0"/>
        <a:lstStyle/>
        <a:p>
          <a:pPr>
            <a:defRPr sz="1400" b="0" i="0" u="none" strike="noStrike" kern="1200" spc="0" baseline="0">
              <a:ln w="9525">
                <a:solidFill>
                  <a:schemeClr val="tx2">
                    <a:lumMod val="95000"/>
                    <a:lumOff val="5000"/>
                  </a:schemeClr>
                </a:solidFill>
              </a:ln>
              <a:solidFill>
                <a:schemeClr val="tx2">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'Basic Analysis'!$D$27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Analysis'!$C$28:$C$33</c:f>
              <c:strCache>
                <c:ptCount val="5"/>
                <c:pt idx="0">
                  <c:v>Midwest</c:v>
                </c:pt>
                <c:pt idx="1">
                  <c:v>Northeast</c:v>
                </c:pt>
                <c:pt idx="2">
                  <c:v>South</c:v>
                </c:pt>
                <c:pt idx="3">
                  <c:v>Southeast</c:v>
                </c:pt>
                <c:pt idx="4">
                  <c:v>West</c:v>
                </c:pt>
              </c:strCache>
            </c:strRef>
          </c:cat>
          <c:val>
            <c:numRef>
              <c:f>'Basic Analysis'!$D$28:$D$33</c:f>
              <c:numCache>
                <c:formatCode>0.00%</c:formatCode>
                <c:ptCount val="5"/>
                <c:pt idx="0">
                  <c:v>0.13243970035792724</c:v>
                </c:pt>
                <c:pt idx="1">
                  <c:v>0.20593526448413482</c:v>
                </c:pt>
                <c:pt idx="2">
                  <c:v>0.14872534662056286</c:v>
                </c:pt>
                <c:pt idx="3">
                  <c:v>0.18642674726674921</c:v>
                </c:pt>
                <c:pt idx="4">
                  <c:v>0.32647294127062587</c:v>
                </c:pt>
              </c:numCache>
            </c:numRef>
          </c:val>
          <c:extLst>
            <c:ext xmlns:c16="http://schemas.microsoft.com/office/drawing/2014/chart" uri="{C3380CC4-5D6E-409C-BE32-E72D297353CC}">
              <c16:uniqueId val="{00000000-990A-408E-9BEC-00B3E65012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[Coke-sales-analysis-stubs.xlsx]Basic Analysis!PivotTable3</c:name>
    <c:fmtId val="2"/>
  </c:pivotSource>
  <c:chart>
    <c:title>
      <c:tx>
        <c:rich>
          <a:bodyPr rot="0" spcFirstLastPara="1" vertOverflow="ellipsis" vert="horz" wrap="square" anchor="ctr" anchorCtr="1"/>
          <a:lstStyle/>
          <a:p>
            <a:pPr>
              <a:defRPr sz="1400" b="0" i="0" u="none" strike="noStrike" kern="1200" spc="0" baseline="0">
                <a:ln>
                  <a:solidFill>
                    <a:schemeClr val="tx2">
                      <a:lumMod val="95000"/>
                      <a:lumOff val="5000"/>
                    </a:schemeClr>
                  </a:solidFill>
                </a:ln>
                <a:solidFill>
                  <a:schemeClr val="tx2">
                    <a:lumMod val="95000"/>
                    <a:lumOff val="5000"/>
                  </a:schemeClr>
                </a:solidFill>
                <a:latin typeface="+mn-lt"/>
                <a:ea typeface="+mn-ea"/>
                <a:cs typeface="+mn-cs"/>
              </a:defRPr>
            </a:pPr>
            <a:r>
              <a:rPr lang="en-US">
                <a:ln>
                  <a:solidFill>
                    <a:schemeClr val="tx2">
                      <a:lumMod val="95000"/>
                      <a:lumOff val="5000"/>
                    </a:schemeClr>
                  </a:solidFill>
                </a:ln>
                <a:solidFill>
                  <a:schemeClr val="tx2">
                    <a:lumMod val="95000"/>
                    <a:lumOff val="5000"/>
                  </a:schemeClr>
                </a:solidFill>
              </a:rPr>
              <a:t>Total</a:t>
            </a:r>
            <a:r>
              <a:rPr lang="en-US" baseline="0">
                <a:ln>
                  <a:solidFill>
                    <a:schemeClr val="tx2">
                      <a:lumMod val="95000"/>
                      <a:lumOff val="5000"/>
                    </a:schemeClr>
                  </a:solidFill>
                </a:ln>
                <a:solidFill>
                  <a:schemeClr val="tx2">
                    <a:lumMod val="95000"/>
                    <a:lumOff val="5000"/>
                  </a:schemeClr>
                </a:solidFill>
              </a:rPr>
              <a:t> Sales</a:t>
            </a:r>
            <a:endParaRPr lang="en-US">
              <a:ln>
                <a:solidFill>
                  <a:schemeClr val="tx2">
                    <a:lumMod val="95000"/>
                    <a:lumOff val="5000"/>
                  </a:schemeClr>
                </a:solidFill>
              </a:ln>
              <a:solidFill>
                <a:schemeClr val="tx2">
                  <a:lumMod val="95000"/>
                  <a:lumOff val="5000"/>
                </a:schemeClr>
              </a:solidFill>
            </a:endParaRPr>
          </a:p>
        </c:rich>
      </c:tx>
      <c:overlay val="0"/>
      <c:spPr>
        <a:noFill/>
        <a:ln>
          <a:solidFill>
            <a:schemeClr val="tx2">
              <a:lumMod val="95000"/>
              <a:lumOff val="5000"/>
            </a:schemeClr>
          </a:solidFill>
        </a:ln>
        <a:effectLst/>
      </c:spPr>
      <c:txPr>
        <a:bodyPr rot="0" spcFirstLastPara="1" vertOverflow="ellipsis" vert="horz" wrap="square" anchor="ctr" anchorCtr="1"/>
        <a:lstStyle/>
        <a:p>
          <a:pPr>
            <a:defRPr sz="1400" b="0" i="0" u="none" strike="noStrike" kern="1200" spc="0" baseline="0">
              <a:ln>
                <a:solidFill>
                  <a:schemeClr val="tx2">
                    <a:lumMod val="95000"/>
                    <a:lumOff val="5000"/>
                  </a:schemeClr>
                </a:solidFill>
              </a:ln>
              <a:solidFill>
                <a:schemeClr val="tx2">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'Basic Analysis'!$D$49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Analysis'!$C$50:$C$54</c:f>
              <c:strCache>
                <c:ptCount val="4"/>
                <c:pt idx="0">
                  <c:v>BevCo</c:v>
                </c:pt>
                <c:pt idx="1">
                  <c:v>DreamCo</c:v>
                </c:pt>
                <c:pt idx="2">
                  <c:v>FizzySip</c:v>
                </c:pt>
                <c:pt idx="3">
                  <c:v>Sodapop</c:v>
                </c:pt>
              </c:strCache>
            </c:strRef>
          </c:cat>
          <c:val>
            <c:numRef>
              <c:f>'Basic Analysis'!$D$50:$D$54</c:f>
              <c:numCache>
                <c:formatCode>0.00%</c:formatCode>
                <c:ptCount val="4"/>
                <c:pt idx="0">
                  <c:v>0.14872534662056286</c:v>
                </c:pt>
                <c:pt idx="1">
                  <c:v>4.6569693612785082E-2</c:v>
                </c:pt>
                <c:pt idx="2">
                  <c:v>0.2976096056812349</c:v>
                </c:pt>
                <c:pt idx="3">
                  <c:v>0.50709535408541717</c:v>
                </c:pt>
              </c:numCache>
            </c:numRef>
          </c:val>
          <c:extLst>
            <c:ext xmlns:c16="http://schemas.microsoft.com/office/drawing/2014/chart" uri="{C3380CC4-5D6E-409C-BE32-E72D297353CC}">
              <c16:uniqueId val="{00000000-0035-41D2-85CF-B89A2BB4A8D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[Coke-sales-analysis-stubs.xlsx]Basic Analysis!PivotTable5</c:name>
    <c:fmtId val="1"/>
  </c:pivotSource>
  <c:chart>
    <c:title>
      <c:tx>
        <c:rich>
          <a:bodyPr rot="0" spcFirstLastPara="1" vertOverflow="ellipsis" vert="horz" wrap="square" anchor="ctr" anchorCtr="1"/>
          <a:lstStyle/>
          <a:p>
            <a:pPr>
              <a:defRPr sz="1400" b="0" i="0" u="none" strike="noStrike" kern="1200" spc="0" baseline="0">
                <a:ln>
                  <a:solidFill>
                    <a:schemeClr val="tx2">
                      <a:lumMod val="95000"/>
                      <a:lumOff val="5000"/>
                    </a:schemeClr>
                  </a:solidFill>
                </a:ln>
                <a:solidFill>
                  <a:schemeClr val="tx1">
                    <a:lumMod val="65000"/>
                    <a:lumOff val="35000"/>
                  </a:schemeClr>
                </a:solidFill>
                <a:latin typeface="+mn-lt"/>
                <a:ea typeface="+mn-ea"/>
                <a:cs typeface="+mn-cs"/>
              </a:defRPr>
            </a:pPr>
            <a:r>
              <a:rPr lang="en-US">
                <a:ln>
                  <a:solidFill>
                    <a:schemeClr val="tx2">
                      <a:lumMod val="95000"/>
                      <a:lumOff val="5000"/>
                    </a:schemeClr>
                  </a:solidFill>
                </a:ln>
              </a:rPr>
              <a:t>Total</a:t>
            </a:r>
            <a:r>
              <a:rPr lang="en-US" baseline="0">
                <a:ln>
                  <a:solidFill>
                    <a:schemeClr val="tx2">
                      <a:lumMod val="95000"/>
                      <a:lumOff val="5000"/>
                    </a:schemeClr>
                  </a:solidFill>
                </a:ln>
              </a:rPr>
              <a:t> Sales</a:t>
            </a:r>
            <a:endParaRPr lang="en-US">
              <a:ln>
                <a:solidFill>
                  <a:schemeClr val="tx2">
                    <a:lumMod val="95000"/>
                    <a:lumOff val="5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2">
                    <a:lumMod val="95000"/>
                    <a:lumOff val="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'Basic Analysis'!$D$73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Analysis'!$C$74:$C$80</c:f>
              <c:strCache>
                <c:ptCount val="6"/>
                <c:pt idx="0">
                  <c:v>Coca-Cola</c:v>
                </c:pt>
                <c:pt idx="1">
                  <c:v>Dasani Water</c:v>
                </c:pt>
                <c:pt idx="2">
                  <c:v>Diet Coke</c:v>
                </c:pt>
                <c:pt idx="3">
                  <c:v>Fanta</c:v>
                </c:pt>
                <c:pt idx="4">
                  <c:v>Powerade</c:v>
                </c:pt>
                <c:pt idx="5">
                  <c:v>Sprite</c:v>
                </c:pt>
              </c:strCache>
            </c:strRef>
          </c:cat>
          <c:val>
            <c:numRef>
              <c:f>'Basic Analysis'!$D$74:$D$80</c:f>
              <c:numCache>
                <c:formatCode>0.00%</c:formatCode>
                <c:ptCount val="6"/>
                <c:pt idx="0">
                  <c:v>0.23213768035626325</c:v>
                </c:pt>
                <c:pt idx="1">
                  <c:v>0.19873699156295854</c:v>
                </c:pt>
                <c:pt idx="2">
                  <c:v>0.17059192868746673</c:v>
                </c:pt>
                <c:pt idx="3">
                  <c:v>0.11879856437580374</c:v>
                </c:pt>
                <c:pt idx="4">
                  <c:v>0.13745206357303683</c:v>
                </c:pt>
                <c:pt idx="5">
                  <c:v>0.14228277144447091</c:v>
                </c:pt>
              </c:numCache>
            </c:numRef>
          </c:val>
          <c:extLst>
            <c:ext xmlns:c16="http://schemas.microsoft.com/office/drawing/2014/chart" uri="{C3380CC4-5D6E-409C-BE32-E72D297353CC}">
              <c16:uniqueId val="{00000000-EE89-4960-ABF6-7CB1CBB6DD1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[Coke-sales-analysis-stubs.xlsx]Intermediar Analysis!PivotTable4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'Intermediar Analysis'!$D$5:$D$6</c:f>
              <c:strCache>
                <c:ptCount val="1"/>
                <c:pt idx="0">
                  <c:v>Coca-Cola</c:v>
                </c:pt>
              </c:strCache>
            </c:strRef>
          </c:tx>
          <c:spPr>
            <a:ln w="28575" cap="rnd">
              <a:solidFill>
                <a:schemeClr val="accent1"/>
              </a:solidFill>
              <a:round/>
            </a:ln>
            <a:effectLst/>
          </c:spPr>
          <c:marker>
            <c:symbol val="none"/>
          </c:marker>
          <c:cat>
            <c:strRef>
              <c:f>'Intermediar Analysis'!$C$7:$C$19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Analysis'!$D$7:$D$19</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smooth val="0"/>
          <c:extLst>
            <c:ext xmlns:c16="http://schemas.microsoft.com/office/drawing/2014/chart" uri="{C3380CC4-5D6E-409C-BE32-E72D297353CC}">
              <c16:uniqueId val="{00000000-3337-4587-BB3E-F6FE8560DE9C}"/>
            </c:ext>
          </c:extLst>
        </c:ser>
        <c:ser>
          <c:idx val="1"/>
          <c:order val="1"/>
          <c:tx>
            <c:strRef>
              <c:f>'Intermediar Analysis'!$E$5:$E$6</c:f>
              <c:strCache>
                <c:ptCount val="1"/>
                <c:pt idx="0">
                  <c:v>Dasani Water</c:v>
                </c:pt>
              </c:strCache>
            </c:strRef>
          </c:tx>
          <c:spPr>
            <a:ln w="28575" cap="rnd">
              <a:solidFill>
                <a:schemeClr val="accent2"/>
              </a:solidFill>
              <a:round/>
            </a:ln>
            <a:effectLst/>
          </c:spPr>
          <c:marker>
            <c:symbol val="none"/>
          </c:marker>
          <c:cat>
            <c:strRef>
              <c:f>'Intermediar Analysis'!$C$7:$C$19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Analysis'!$E$7:$E$19</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smooth val="0"/>
          <c:extLst>
            <c:ext xmlns:c16="http://schemas.microsoft.com/office/drawing/2014/chart" uri="{C3380CC4-5D6E-409C-BE32-E72D297353CC}">
              <c16:uniqueId val="{00000001-3337-4587-BB3E-F6FE8560DE9C}"/>
            </c:ext>
          </c:extLst>
        </c:ser>
        <c:ser>
          <c:idx val="2"/>
          <c:order val="2"/>
          <c:tx>
            <c:strRef>
              <c:f>'Intermediar Analysis'!$F$5:$F$6</c:f>
              <c:strCache>
                <c:ptCount val="1"/>
                <c:pt idx="0">
                  <c:v>Diet Coke</c:v>
                </c:pt>
              </c:strCache>
            </c:strRef>
          </c:tx>
          <c:spPr>
            <a:ln w="28575" cap="rnd">
              <a:solidFill>
                <a:schemeClr val="accent3"/>
              </a:solidFill>
              <a:round/>
            </a:ln>
            <a:effectLst/>
          </c:spPr>
          <c:marker>
            <c:symbol val="none"/>
          </c:marker>
          <c:cat>
            <c:strRef>
              <c:f>'Intermediar Analysis'!$C$7:$C$19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Analysis'!$F$7:$F$19</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smooth val="0"/>
          <c:extLst>
            <c:ext xmlns:c16="http://schemas.microsoft.com/office/drawing/2014/chart" uri="{C3380CC4-5D6E-409C-BE32-E72D297353CC}">
              <c16:uniqueId val="{00000002-3337-4587-BB3E-F6FE8560DE9C}"/>
            </c:ext>
          </c:extLst>
        </c:ser>
        <c:ser>
          <c:idx val="3"/>
          <c:order val="3"/>
          <c:tx>
            <c:strRef>
              <c:f>'Intermediar Analysis'!$G$5:$G$6</c:f>
              <c:strCache>
                <c:ptCount val="1"/>
                <c:pt idx="0">
                  <c:v>Fanta</c:v>
                </c:pt>
              </c:strCache>
            </c:strRef>
          </c:tx>
          <c:spPr>
            <a:ln w="28575" cap="rnd">
              <a:solidFill>
                <a:schemeClr val="accent4"/>
              </a:solidFill>
              <a:round/>
            </a:ln>
            <a:effectLst/>
          </c:spPr>
          <c:marker>
            <c:symbol val="none"/>
          </c:marker>
          <c:cat>
            <c:strRef>
              <c:f>'Intermediar Analysis'!$C$7:$C$19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Analysis'!$G$7:$G$19</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smooth val="0"/>
          <c:extLst>
            <c:ext xmlns:c16="http://schemas.microsoft.com/office/drawing/2014/chart" uri="{C3380CC4-5D6E-409C-BE32-E72D297353CC}">
              <c16:uniqueId val="{00000003-3337-4587-BB3E-F6FE8560DE9C}"/>
            </c:ext>
          </c:extLst>
        </c:ser>
        <c:ser>
          <c:idx val="4"/>
          <c:order val="4"/>
          <c:tx>
            <c:strRef>
              <c:f>'Intermediar Analysis'!$H$5:$H$6</c:f>
              <c:strCache>
                <c:ptCount val="1"/>
                <c:pt idx="0">
                  <c:v>Powerade</c:v>
                </c:pt>
              </c:strCache>
            </c:strRef>
          </c:tx>
          <c:spPr>
            <a:ln w="28575" cap="rnd">
              <a:solidFill>
                <a:schemeClr val="accent5"/>
              </a:solidFill>
              <a:round/>
            </a:ln>
            <a:effectLst/>
          </c:spPr>
          <c:marker>
            <c:symbol val="none"/>
          </c:marker>
          <c:cat>
            <c:strRef>
              <c:f>'Intermediar Analysis'!$C$7:$C$19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Analysis'!$H$7:$H$19</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smooth val="0"/>
          <c:extLst>
            <c:ext xmlns:c16="http://schemas.microsoft.com/office/drawing/2014/chart" uri="{C3380CC4-5D6E-409C-BE32-E72D297353CC}">
              <c16:uniqueId val="{00000004-3337-4587-BB3E-F6FE8560DE9C}"/>
            </c:ext>
          </c:extLst>
        </c:ser>
        <c:ser>
          <c:idx val="5"/>
          <c:order val="5"/>
          <c:tx>
            <c:strRef>
              <c:f>'Intermediar Analysis'!$I$5:$I$6</c:f>
              <c:strCache>
                <c:ptCount val="1"/>
                <c:pt idx="0">
                  <c:v>Sprite</c:v>
                </c:pt>
              </c:strCache>
            </c:strRef>
          </c:tx>
          <c:spPr>
            <a:ln w="28575" cap="rnd">
              <a:solidFill>
                <a:schemeClr val="accent6"/>
              </a:solidFill>
              <a:round/>
            </a:ln>
            <a:effectLst/>
          </c:spPr>
          <c:marker>
            <c:symbol val="none"/>
          </c:marker>
          <c:cat>
            <c:strRef>
              <c:f>'Intermediar Analysis'!$C$7:$C$19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Analysis'!$I$7:$I$19</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smooth val="0"/>
          <c:extLst>
            <c:ext xmlns:c16="http://schemas.microsoft.com/office/drawing/2014/chart" uri="{C3380CC4-5D6E-409C-BE32-E72D297353CC}">
              <c16:uniqueId val="{00000005-3337-4587-BB3E-F6FE8560DE9C}"/>
            </c:ext>
          </c:extLst>
        </c:ser>
        <c:dLbls>
          <c:showLegendKey val="0"/>
          <c:showVal val="0"/>
          <c:showCatName val="0"/>
          <c:showSerName val="0"/>
          <c:showPercent val="0"/>
          <c:showBubbleSize val="0"/>
        </c:dLbls>
        <c:smooth val="0"/>
        <c:axId val="1317453088"/>
        <c:axId val="1317451648"/>
      </c:lineChart>
      <c:catAx>
        <c:axId val="131745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51648"/>
        <c:crosses val="autoZero"/>
        <c:auto val="1"/>
        <c:lblAlgn val="ctr"/>
        <c:lblOffset val="100"/>
        <c:noMultiLvlLbl val="0"/>
      </c:catAx>
      <c:valAx>
        <c:axId val="131745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5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[Coke-sales-analysis-stubs.xlsx]Intermediar Analysis!PivotTable6</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'Intermediar Analysis'!$D$35:$D$36</c:f>
              <c:strCache>
                <c:ptCount val="1"/>
                <c:pt idx="0">
                  <c:v>Midwest</c:v>
                </c:pt>
              </c:strCache>
            </c:strRef>
          </c:tx>
          <c:spPr>
            <a:ln w="28575" cap="rnd">
              <a:solidFill>
                <a:schemeClr val="accent1"/>
              </a:solidFill>
              <a:round/>
            </a:ln>
            <a:effectLst/>
          </c:spPr>
          <c:marker>
            <c:symbol val="none"/>
          </c:marker>
          <c:cat>
            <c:strRef>
              <c:f>'Intermediar Analysis'!$C$37:$C$49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Analysis'!$D$37:$D$49</c:f>
              <c:numCache>
                <c:formatCode>"$"#,##0_);[Red]\("$"#,##0\)</c:formatCode>
                <c:ptCount val="12"/>
                <c:pt idx="0">
                  <c:v>80087.5</c:v>
                </c:pt>
                <c:pt idx="1">
                  <c:v>73762.5</c:v>
                </c:pt>
                <c:pt idx="2">
                  <c:v>68072.5</c:v>
                </c:pt>
                <c:pt idx="3">
                  <c:v>65762.5</c:v>
                </c:pt>
                <c:pt idx="4">
                  <c:v>97392.5</c:v>
                </c:pt>
                <c:pt idx="5">
                  <c:v>101637.5</c:v>
                </c:pt>
                <c:pt idx="6">
                  <c:v>131387.5</c:v>
                </c:pt>
                <c:pt idx="7">
                  <c:v>120312.5</c:v>
                </c:pt>
                <c:pt idx="8">
                  <c:v>81087.5</c:v>
                </c:pt>
                <c:pt idx="9">
                  <c:v>82800</c:v>
                </c:pt>
                <c:pt idx="10">
                  <c:v>102420</c:v>
                </c:pt>
                <c:pt idx="11">
                  <c:v>145387.5</c:v>
                </c:pt>
              </c:numCache>
            </c:numRef>
          </c:val>
          <c:smooth val="0"/>
          <c:extLst>
            <c:ext xmlns:c16="http://schemas.microsoft.com/office/drawing/2014/chart" uri="{C3380CC4-5D6E-409C-BE32-E72D297353CC}">
              <c16:uniqueId val="{00000000-08E1-4D18-8481-4EE27AF8F499}"/>
            </c:ext>
          </c:extLst>
        </c:ser>
        <c:ser>
          <c:idx val="1"/>
          <c:order val="1"/>
          <c:tx>
            <c:strRef>
              <c:f>'Intermediar Analysis'!$E$35:$E$36</c:f>
              <c:strCache>
                <c:ptCount val="1"/>
                <c:pt idx="0">
                  <c:v>Northeast</c:v>
                </c:pt>
              </c:strCache>
            </c:strRef>
          </c:tx>
          <c:spPr>
            <a:ln w="28575" cap="rnd">
              <a:solidFill>
                <a:schemeClr val="accent2"/>
              </a:solidFill>
              <a:round/>
            </a:ln>
            <a:effectLst/>
          </c:spPr>
          <c:marker>
            <c:symbol val="none"/>
          </c:marker>
          <c:cat>
            <c:strRef>
              <c:f>'Intermediar Analysis'!$C$37:$C$49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Analysis'!$E$37:$E$49</c:f>
              <c:numCache>
                <c:formatCode>"$"#,##0_);[Red]\("$"#,##0\)</c:formatCode>
                <c:ptCount val="12"/>
                <c:pt idx="0">
                  <c:v>115737.5</c:v>
                </c:pt>
                <c:pt idx="1">
                  <c:v>112650</c:v>
                </c:pt>
                <c:pt idx="2">
                  <c:v>104985</c:v>
                </c:pt>
                <c:pt idx="3">
                  <c:v>101175</c:v>
                </c:pt>
                <c:pt idx="4">
                  <c:v>154247.5</c:v>
                </c:pt>
                <c:pt idx="5">
                  <c:v>176437.5</c:v>
                </c:pt>
                <c:pt idx="6">
                  <c:v>187900</c:v>
                </c:pt>
                <c:pt idx="7">
                  <c:v>173362.5</c:v>
                </c:pt>
                <c:pt idx="8">
                  <c:v>142037.5</c:v>
                </c:pt>
                <c:pt idx="9">
                  <c:v>143887.5</c:v>
                </c:pt>
                <c:pt idx="10">
                  <c:v>173315</c:v>
                </c:pt>
                <c:pt idx="11">
                  <c:v>202612.5</c:v>
                </c:pt>
              </c:numCache>
            </c:numRef>
          </c:val>
          <c:smooth val="0"/>
          <c:extLst>
            <c:ext xmlns:c16="http://schemas.microsoft.com/office/drawing/2014/chart" uri="{C3380CC4-5D6E-409C-BE32-E72D297353CC}">
              <c16:uniqueId val="{00000001-08E1-4D18-8481-4EE27AF8F499}"/>
            </c:ext>
          </c:extLst>
        </c:ser>
        <c:ser>
          <c:idx val="2"/>
          <c:order val="2"/>
          <c:tx>
            <c:strRef>
              <c:f>'Intermediar Analysis'!$F$35:$F$36</c:f>
              <c:strCache>
                <c:ptCount val="1"/>
                <c:pt idx="0">
                  <c:v>South</c:v>
                </c:pt>
              </c:strCache>
            </c:strRef>
          </c:tx>
          <c:spPr>
            <a:ln w="28575" cap="rnd">
              <a:solidFill>
                <a:schemeClr val="accent3"/>
              </a:solidFill>
              <a:round/>
            </a:ln>
            <a:effectLst/>
          </c:spPr>
          <c:marker>
            <c:symbol val="none"/>
          </c:marker>
          <c:cat>
            <c:strRef>
              <c:f>'Intermediar Analysis'!$C$37:$C$49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Analysis'!$F$37:$F$49</c:f>
              <c:numCache>
                <c:formatCode>"$"#,##0_);[Red]\("$"#,##0\)</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smooth val="0"/>
          <c:extLst>
            <c:ext xmlns:c16="http://schemas.microsoft.com/office/drawing/2014/chart" uri="{C3380CC4-5D6E-409C-BE32-E72D297353CC}">
              <c16:uniqueId val="{00000002-08E1-4D18-8481-4EE27AF8F499}"/>
            </c:ext>
          </c:extLst>
        </c:ser>
        <c:ser>
          <c:idx val="3"/>
          <c:order val="3"/>
          <c:tx>
            <c:strRef>
              <c:f>'Intermediar Analysis'!$G$35:$G$36</c:f>
              <c:strCache>
                <c:ptCount val="1"/>
                <c:pt idx="0">
                  <c:v>Southeast</c:v>
                </c:pt>
              </c:strCache>
            </c:strRef>
          </c:tx>
          <c:spPr>
            <a:ln w="28575" cap="rnd">
              <a:solidFill>
                <a:schemeClr val="accent4"/>
              </a:solidFill>
              <a:round/>
            </a:ln>
            <a:effectLst/>
          </c:spPr>
          <c:marker>
            <c:symbol val="none"/>
          </c:marker>
          <c:cat>
            <c:strRef>
              <c:f>'Intermediar Analysis'!$C$37:$C$49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Analysis'!$G$37:$G$49</c:f>
              <c:numCache>
                <c:formatCode>"$"#,##0_);[Red]\("$"#,##0\)</c:formatCode>
                <c:ptCount val="12"/>
                <c:pt idx="0">
                  <c:v>104750</c:v>
                </c:pt>
                <c:pt idx="1">
                  <c:v>99500</c:v>
                </c:pt>
                <c:pt idx="2">
                  <c:v>86102.5</c:v>
                </c:pt>
                <c:pt idx="3">
                  <c:v>88525</c:v>
                </c:pt>
                <c:pt idx="4">
                  <c:v>133555</c:v>
                </c:pt>
                <c:pt idx="5">
                  <c:v>162687.5</c:v>
                </c:pt>
                <c:pt idx="6">
                  <c:v>191425</c:v>
                </c:pt>
                <c:pt idx="7">
                  <c:v>170700</c:v>
                </c:pt>
                <c:pt idx="8">
                  <c:v>124537.5</c:v>
                </c:pt>
                <c:pt idx="9">
                  <c:v>119525</c:v>
                </c:pt>
                <c:pt idx="10">
                  <c:v>146152.5</c:v>
                </c:pt>
                <c:pt idx="11">
                  <c:v>191475</c:v>
                </c:pt>
              </c:numCache>
            </c:numRef>
          </c:val>
          <c:smooth val="0"/>
          <c:extLst>
            <c:ext xmlns:c16="http://schemas.microsoft.com/office/drawing/2014/chart" uri="{C3380CC4-5D6E-409C-BE32-E72D297353CC}">
              <c16:uniqueId val="{00000003-08E1-4D18-8481-4EE27AF8F499}"/>
            </c:ext>
          </c:extLst>
        </c:ser>
        <c:ser>
          <c:idx val="4"/>
          <c:order val="4"/>
          <c:tx>
            <c:strRef>
              <c:f>'Intermediar Analysis'!$H$35:$H$36</c:f>
              <c:strCache>
                <c:ptCount val="1"/>
                <c:pt idx="0">
                  <c:v>West</c:v>
                </c:pt>
              </c:strCache>
            </c:strRef>
          </c:tx>
          <c:spPr>
            <a:ln w="28575" cap="rnd">
              <a:solidFill>
                <a:schemeClr val="accent5"/>
              </a:solidFill>
              <a:round/>
            </a:ln>
            <a:effectLst/>
          </c:spPr>
          <c:marker>
            <c:symbol val="none"/>
          </c:marker>
          <c:cat>
            <c:strRef>
              <c:f>'Intermediar Analysis'!$C$37:$C$49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Analysis'!$H$37:$H$49</c:f>
              <c:numCache>
                <c:formatCode>"$"#,##0_);[Red]\("$"#,##0\)</c:formatCode>
                <c:ptCount val="12"/>
                <c:pt idx="0">
                  <c:v>139512.5</c:v>
                </c:pt>
                <c:pt idx="1">
                  <c:v>132587.5</c:v>
                </c:pt>
                <c:pt idx="2">
                  <c:v>158525</c:v>
                </c:pt>
                <c:pt idx="3">
                  <c:v>178762.5</c:v>
                </c:pt>
                <c:pt idx="4">
                  <c:v>198412.5</c:v>
                </c:pt>
                <c:pt idx="5">
                  <c:v>328537.5</c:v>
                </c:pt>
                <c:pt idx="6">
                  <c:v>372812.5</c:v>
                </c:pt>
                <c:pt idx="7">
                  <c:v>328625</c:v>
                </c:pt>
                <c:pt idx="8">
                  <c:v>216112.5</c:v>
                </c:pt>
                <c:pt idx="9">
                  <c:v>195475</c:v>
                </c:pt>
                <c:pt idx="10">
                  <c:v>254925</c:v>
                </c:pt>
                <c:pt idx="11">
                  <c:v>330812.5</c:v>
                </c:pt>
              </c:numCache>
            </c:numRef>
          </c:val>
          <c:smooth val="0"/>
          <c:extLst>
            <c:ext xmlns:c16="http://schemas.microsoft.com/office/drawing/2014/chart" uri="{C3380CC4-5D6E-409C-BE32-E72D297353CC}">
              <c16:uniqueId val="{00000004-08E1-4D18-8481-4EE27AF8F499}"/>
            </c:ext>
          </c:extLst>
        </c:ser>
        <c:dLbls>
          <c:showLegendKey val="0"/>
          <c:showVal val="0"/>
          <c:showCatName val="0"/>
          <c:showSerName val="0"/>
          <c:showPercent val="0"/>
          <c:showBubbleSize val="0"/>
        </c:dLbls>
        <c:smooth val="0"/>
        <c:axId val="1269708352"/>
        <c:axId val="1269709792"/>
      </c:lineChart>
      <c:catAx>
        <c:axId val="12697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709792"/>
        <c:crosses val="autoZero"/>
        <c:auto val="1"/>
        <c:lblAlgn val="ctr"/>
        <c:lblOffset val="100"/>
        <c:noMultiLvlLbl val="0"/>
      </c:catAx>
      <c:valAx>
        <c:axId val="1269709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70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[Coke-sales-analysis-stubs.xlsx]Intermediar Analysis!PivotTable7</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'Intermediar Analysis'!$D$64:$D$65</c:f>
              <c:strCache>
                <c:ptCount val="1"/>
                <c:pt idx="0">
                  <c:v>BevCo</c:v>
                </c:pt>
              </c:strCache>
            </c:strRef>
          </c:tx>
          <c:spPr>
            <a:ln w="28575" cap="rnd">
              <a:solidFill>
                <a:schemeClr val="accent1"/>
              </a:solidFill>
              <a:round/>
            </a:ln>
            <a:effectLst/>
          </c:spPr>
          <c:marker>
            <c:symbol val="none"/>
          </c:marker>
          <c:cat>
            <c:strRef>
              <c:f>'Intermediar Analysis'!$C$66:$C$78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Analysis'!$D$66:$D$78</c:f>
              <c:numCache>
                <c:formatCode>"$"#,##0_);[Red]\("$"#,##0\)</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smooth val="0"/>
          <c:extLst>
            <c:ext xmlns:c16="http://schemas.microsoft.com/office/drawing/2014/chart" uri="{C3380CC4-5D6E-409C-BE32-E72D297353CC}">
              <c16:uniqueId val="{00000000-3E35-4E5E-8FBF-3D46B39D256F}"/>
            </c:ext>
          </c:extLst>
        </c:ser>
        <c:ser>
          <c:idx val="1"/>
          <c:order val="1"/>
          <c:tx>
            <c:strRef>
              <c:f>'Intermediar Analysis'!$E$64:$E$65</c:f>
              <c:strCache>
                <c:ptCount val="1"/>
                <c:pt idx="0">
                  <c:v>DreamCo</c:v>
                </c:pt>
              </c:strCache>
            </c:strRef>
          </c:tx>
          <c:spPr>
            <a:ln w="28575" cap="rnd">
              <a:solidFill>
                <a:schemeClr val="accent2"/>
              </a:solidFill>
              <a:round/>
            </a:ln>
            <a:effectLst/>
          </c:spPr>
          <c:marker>
            <c:symbol val="none"/>
          </c:marker>
          <c:cat>
            <c:strRef>
              <c:f>'Intermediar Analysis'!$C$66:$C$78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Analysis'!$E$66:$E$78</c:f>
              <c:numCache>
                <c:formatCode>"$"#,##0_);[Red]\("$"#,##0\)</c:formatCode>
                <c:ptCount val="12"/>
                <c:pt idx="0">
                  <c:v>27787.5</c:v>
                </c:pt>
                <c:pt idx="1">
                  <c:v>26287.5</c:v>
                </c:pt>
                <c:pt idx="2">
                  <c:v>26162.5</c:v>
                </c:pt>
                <c:pt idx="3">
                  <c:v>28537.5</c:v>
                </c:pt>
                <c:pt idx="4">
                  <c:v>29725</c:v>
                </c:pt>
                <c:pt idx="5">
                  <c:v>36250</c:v>
                </c:pt>
                <c:pt idx="6">
                  <c:v>37962.5</c:v>
                </c:pt>
                <c:pt idx="7">
                  <c:v>40075</c:v>
                </c:pt>
                <c:pt idx="8">
                  <c:v>38550</c:v>
                </c:pt>
                <c:pt idx="9">
                  <c:v>35637.5</c:v>
                </c:pt>
                <c:pt idx="10">
                  <c:v>36637.5</c:v>
                </c:pt>
                <c:pt idx="11">
                  <c:v>40800</c:v>
                </c:pt>
              </c:numCache>
            </c:numRef>
          </c:val>
          <c:smooth val="0"/>
          <c:extLst>
            <c:ext xmlns:c16="http://schemas.microsoft.com/office/drawing/2014/chart" uri="{C3380CC4-5D6E-409C-BE32-E72D297353CC}">
              <c16:uniqueId val="{00000001-3E35-4E5E-8FBF-3D46B39D256F}"/>
            </c:ext>
          </c:extLst>
        </c:ser>
        <c:ser>
          <c:idx val="2"/>
          <c:order val="2"/>
          <c:tx>
            <c:strRef>
              <c:f>'Intermediar Analysis'!$F$64:$F$65</c:f>
              <c:strCache>
                <c:ptCount val="1"/>
                <c:pt idx="0">
                  <c:v>FizzySip</c:v>
                </c:pt>
              </c:strCache>
            </c:strRef>
          </c:tx>
          <c:spPr>
            <a:ln w="28575" cap="rnd">
              <a:solidFill>
                <a:schemeClr val="accent3"/>
              </a:solidFill>
              <a:round/>
            </a:ln>
            <a:effectLst/>
          </c:spPr>
          <c:marker>
            <c:symbol val="none"/>
          </c:marker>
          <c:cat>
            <c:strRef>
              <c:f>'Intermediar Analysis'!$C$66:$C$78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Analysis'!$F$66:$F$78</c:f>
              <c:numCache>
                <c:formatCode>"$"#,##0_);[Red]\("$"#,##0\)</c:formatCode>
                <c:ptCount val="12"/>
                <c:pt idx="0">
                  <c:v>122637.5</c:v>
                </c:pt>
                <c:pt idx="1">
                  <c:v>116462.5</c:v>
                </c:pt>
                <c:pt idx="2">
                  <c:v>142462.5</c:v>
                </c:pt>
                <c:pt idx="3">
                  <c:v>160650</c:v>
                </c:pt>
                <c:pt idx="4">
                  <c:v>179525</c:v>
                </c:pt>
                <c:pt idx="5">
                  <c:v>306475</c:v>
                </c:pt>
                <c:pt idx="6">
                  <c:v>349812.5</c:v>
                </c:pt>
                <c:pt idx="7">
                  <c:v>304175</c:v>
                </c:pt>
                <c:pt idx="8">
                  <c:v>191987.5</c:v>
                </c:pt>
                <c:pt idx="9">
                  <c:v>172875</c:v>
                </c:pt>
                <c:pt idx="10">
                  <c:v>231487.5</c:v>
                </c:pt>
                <c:pt idx="11">
                  <c:v>305900</c:v>
                </c:pt>
              </c:numCache>
            </c:numRef>
          </c:val>
          <c:smooth val="0"/>
          <c:extLst>
            <c:ext xmlns:c16="http://schemas.microsoft.com/office/drawing/2014/chart" uri="{C3380CC4-5D6E-409C-BE32-E72D297353CC}">
              <c16:uniqueId val="{00000002-3E35-4E5E-8FBF-3D46B39D256F}"/>
            </c:ext>
          </c:extLst>
        </c:ser>
        <c:ser>
          <c:idx val="3"/>
          <c:order val="3"/>
          <c:tx>
            <c:strRef>
              <c:f>'Intermediar Analysis'!$G$64:$G$65</c:f>
              <c:strCache>
                <c:ptCount val="1"/>
                <c:pt idx="0">
                  <c:v>Sodapop</c:v>
                </c:pt>
              </c:strCache>
            </c:strRef>
          </c:tx>
          <c:spPr>
            <a:ln w="28575" cap="rnd">
              <a:solidFill>
                <a:schemeClr val="accent4"/>
              </a:solidFill>
              <a:round/>
            </a:ln>
            <a:effectLst/>
          </c:spPr>
          <c:marker>
            <c:symbol val="none"/>
          </c:marker>
          <c:cat>
            <c:strRef>
              <c:f>'Intermediar Analysis'!$C$66:$C$78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'Intermediar Analysis'!$G$66:$G$78</c:f>
              <c:numCache>
                <c:formatCode>"$"#,##0_);[Red]\("$"#,##0\)</c:formatCode>
                <c:ptCount val="12"/>
                <c:pt idx="0">
                  <c:v>289662.5</c:v>
                </c:pt>
                <c:pt idx="1">
                  <c:v>275750</c:v>
                </c:pt>
                <c:pt idx="2">
                  <c:v>249060</c:v>
                </c:pt>
                <c:pt idx="3">
                  <c:v>245037.5</c:v>
                </c:pt>
                <c:pt idx="4">
                  <c:v>374357.5</c:v>
                </c:pt>
                <c:pt idx="5">
                  <c:v>426575</c:v>
                </c:pt>
                <c:pt idx="6">
                  <c:v>495750</c:v>
                </c:pt>
                <c:pt idx="7">
                  <c:v>448750</c:v>
                </c:pt>
                <c:pt idx="8">
                  <c:v>333237.5</c:v>
                </c:pt>
                <c:pt idx="9">
                  <c:v>333175</c:v>
                </c:pt>
                <c:pt idx="10">
                  <c:v>408687.5</c:v>
                </c:pt>
                <c:pt idx="11">
                  <c:v>523587.5</c:v>
                </c:pt>
              </c:numCache>
            </c:numRef>
          </c:val>
          <c:smooth val="0"/>
          <c:extLst>
            <c:ext xmlns:c16="http://schemas.microsoft.com/office/drawing/2014/chart" uri="{C3380CC4-5D6E-409C-BE32-E72D297353CC}">
              <c16:uniqueId val="{00000003-3E35-4E5E-8FBF-3D46B39D256F}"/>
            </c:ext>
          </c:extLst>
        </c:ser>
        <c:dLbls>
          <c:showLegendKey val="0"/>
          <c:showVal val="0"/>
          <c:showCatName val="0"/>
          <c:showSerName val="0"/>
          <c:showPercent val="0"/>
          <c:showBubbleSize val="0"/>
        </c:dLbls>
        <c:smooth val="0"/>
        <c:axId val="1355789104"/>
        <c:axId val="1355786704"/>
      </c:lineChart>
      <c:catAx>
        <c:axId val="135578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86704"/>
        <c:crosses val="autoZero"/>
        <c:auto val="1"/>
        <c:lblAlgn val="ctr"/>
        <c:lblOffset val="100"/>
        <c:noMultiLvlLbl val="0"/>
      </c:catAx>
      <c:valAx>
        <c:axId val="135578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[Coke-sales-analysis-stubs.xlsx]Intermediar Analysis!PivotTable8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'Intermediar Analysis'!$D$97:$D$98</c:f>
              <c:strCache>
                <c:ptCount val="1"/>
                <c:pt idx="0">
                  <c:v>Coca-Cola</c:v>
                </c:pt>
              </c:strCache>
            </c:strRef>
          </c:tx>
          <c:spPr>
            <a:solidFill>
              <a:schemeClr val="accent1"/>
            </a:solidFill>
            <a:ln>
              <a:noFill/>
            </a:ln>
            <a:effectLst/>
          </c:spPr>
          <c:invertIfNegative val="0"/>
          <c:cat>
            <c:strRef>
              <c:f>'Intermediar Analysis'!$C$99:$C$104</c:f>
              <c:strCache>
                <c:ptCount val="5"/>
                <c:pt idx="0">
                  <c:v>Midwest</c:v>
                </c:pt>
                <c:pt idx="1">
                  <c:v>Northeast</c:v>
                </c:pt>
                <c:pt idx="2">
                  <c:v>South</c:v>
                </c:pt>
                <c:pt idx="3">
                  <c:v>Southeast</c:v>
                </c:pt>
                <c:pt idx="4">
                  <c:v>West</c:v>
                </c:pt>
              </c:strCache>
            </c:strRef>
          </c:cat>
          <c:val>
            <c:numRef>
              <c:f>'Intermediar Analysis'!$D$99:$D$104</c:f>
              <c:numCache>
                <c:formatCode>"$"#,##0_);[Red]\("$"#,##0\)</c:formatCode>
                <c:ptCount val="5"/>
                <c:pt idx="0">
                  <c:v>344527.5</c:v>
                </c:pt>
                <c:pt idx="1">
                  <c:v>498157.5</c:v>
                </c:pt>
                <c:pt idx="2">
                  <c:v>248022.5</c:v>
                </c:pt>
                <c:pt idx="3">
                  <c:v>375482.5</c:v>
                </c:pt>
                <c:pt idx="4">
                  <c:v>549700</c:v>
                </c:pt>
              </c:numCache>
            </c:numRef>
          </c:val>
          <c:extLst>
            <c:ext xmlns:c16="http://schemas.microsoft.com/office/drawing/2014/chart" uri="{C3380CC4-5D6E-409C-BE32-E72D297353CC}">
              <c16:uniqueId val="{00000000-6CF5-4FAE-AD2F-57F9E13985C8}"/>
            </c:ext>
          </c:extLst>
        </c:ser>
        <c:ser>
          <c:idx val="1"/>
          <c:order val="1"/>
          <c:tx>
            <c:strRef>
              <c:f>'Intermediar Analysis'!$E$97:$E$98</c:f>
              <c:strCache>
                <c:ptCount val="1"/>
                <c:pt idx="0">
                  <c:v>Dasani Water</c:v>
                </c:pt>
              </c:strCache>
            </c:strRef>
          </c:tx>
          <c:spPr>
            <a:solidFill>
              <a:schemeClr val="accent2"/>
            </a:solidFill>
            <a:ln>
              <a:noFill/>
            </a:ln>
            <a:effectLst/>
          </c:spPr>
          <c:invertIfNegative val="0"/>
          <c:cat>
            <c:strRef>
              <c:f>'Intermediar Analysis'!$C$99:$C$104</c:f>
              <c:strCache>
                <c:ptCount val="5"/>
                <c:pt idx="0">
                  <c:v>Midwest</c:v>
                </c:pt>
                <c:pt idx="1">
                  <c:v>Northeast</c:v>
                </c:pt>
                <c:pt idx="2">
                  <c:v>South</c:v>
                </c:pt>
                <c:pt idx="3">
                  <c:v>Southeast</c:v>
                </c:pt>
                <c:pt idx="4">
                  <c:v>West</c:v>
                </c:pt>
              </c:strCache>
            </c:strRef>
          </c:cat>
          <c:val>
            <c:numRef>
              <c:f>'Intermediar Analysis'!$E$99:$E$104</c:f>
              <c:numCache>
                <c:formatCode>"$"#,##0_);[Red]\("$"#,##0\)</c:formatCode>
                <c:ptCount val="5"/>
                <c:pt idx="0">
                  <c:v>243062.5</c:v>
                </c:pt>
                <c:pt idx="1">
                  <c:v>357712.5</c:v>
                </c:pt>
                <c:pt idx="2">
                  <c:v>267837.5</c:v>
                </c:pt>
                <c:pt idx="3">
                  <c:v>319662.5</c:v>
                </c:pt>
                <c:pt idx="4">
                  <c:v>537562.5</c:v>
                </c:pt>
              </c:numCache>
            </c:numRef>
          </c:val>
          <c:extLst>
            <c:ext xmlns:c16="http://schemas.microsoft.com/office/drawing/2014/chart" uri="{C3380CC4-5D6E-409C-BE32-E72D297353CC}">
              <c16:uniqueId val="{00000001-6CF5-4FAE-AD2F-57F9E13985C8}"/>
            </c:ext>
          </c:extLst>
        </c:ser>
        <c:ser>
          <c:idx val="2"/>
          <c:order val="2"/>
          <c:tx>
            <c:strRef>
              <c:f>'Intermediar Analysis'!$F$97:$F$98</c:f>
              <c:strCache>
                <c:ptCount val="1"/>
                <c:pt idx="0">
                  <c:v>Diet Coke</c:v>
                </c:pt>
              </c:strCache>
            </c:strRef>
          </c:tx>
          <c:spPr>
            <a:solidFill>
              <a:schemeClr val="accent3"/>
            </a:solidFill>
            <a:ln>
              <a:noFill/>
            </a:ln>
            <a:effectLst/>
          </c:spPr>
          <c:invertIfNegative val="0"/>
          <c:cat>
            <c:strRef>
              <c:f>'Intermediar Analysis'!$C$99:$C$104</c:f>
              <c:strCache>
                <c:ptCount val="5"/>
                <c:pt idx="0">
                  <c:v>Midwest</c:v>
                </c:pt>
                <c:pt idx="1">
                  <c:v>Northeast</c:v>
                </c:pt>
                <c:pt idx="2">
                  <c:v>South</c:v>
                </c:pt>
                <c:pt idx="3">
                  <c:v>Southeast</c:v>
                </c:pt>
                <c:pt idx="4">
                  <c:v>West</c:v>
                </c:pt>
              </c:strCache>
            </c:strRef>
          </c:cat>
          <c:val>
            <c:numRef>
              <c:f>'Intermediar Analysis'!$F$99:$F$104</c:f>
              <c:numCache>
                <c:formatCode>"$"#,##0_);[Red]\("$"#,##0\)</c:formatCode>
                <c:ptCount val="5"/>
                <c:pt idx="0">
                  <c:v>178675</c:v>
                </c:pt>
                <c:pt idx="1">
                  <c:v>277050</c:v>
                </c:pt>
                <c:pt idx="2">
                  <c:v>231450</c:v>
                </c:pt>
                <c:pt idx="3">
                  <c:v>253100</c:v>
                </c:pt>
                <c:pt idx="4">
                  <c:v>541150</c:v>
                </c:pt>
              </c:numCache>
            </c:numRef>
          </c:val>
          <c:extLst>
            <c:ext xmlns:c16="http://schemas.microsoft.com/office/drawing/2014/chart" uri="{C3380CC4-5D6E-409C-BE32-E72D297353CC}">
              <c16:uniqueId val="{00000002-6CF5-4FAE-AD2F-57F9E13985C8}"/>
            </c:ext>
          </c:extLst>
        </c:ser>
        <c:ser>
          <c:idx val="3"/>
          <c:order val="3"/>
          <c:tx>
            <c:strRef>
              <c:f>'Intermediar Analysis'!$G$97:$G$98</c:f>
              <c:strCache>
                <c:ptCount val="1"/>
                <c:pt idx="0">
                  <c:v>Fanta</c:v>
                </c:pt>
              </c:strCache>
            </c:strRef>
          </c:tx>
          <c:spPr>
            <a:solidFill>
              <a:schemeClr val="accent4"/>
            </a:solidFill>
            <a:ln>
              <a:noFill/>
            </a:ln>
            <a:effectLst/>
          </c:spPr>
          <c:invertIfNegative val="0"/>
          <c:cat>
            <c:strRef>
              <c:f>'Intermediar Analysis'!$C$99:$C$104</c:f>
              <c:strCache>
                <c:ptCount val="5"/>
                <c:pt idx="0">
                  <c:v>Midwest</c:v>
                </c:pt>
                <c:pt idx="1">
                  <c:v>Northeast</c:v>
                </c:pt>
                <c:pt idx="2">
                  <c:v>South</c:v>
                </c:pt>
                <c:pt idx="3">
                  <c:v>Southeast</c:v>
                </c:pt>
                <c:pt idx="4">
                  <c:v>West</c:v>
                </c:pt>
              </c:strCache>
            </c:strRef>
          </c:cat>
          <c:val>
            <c:numRef>
              <c:f>'Intermediar Analysis'!$G$99:$G$104</c:f>
              <c:numCache>
                <c:formatCode>"$"#,##0_);[Red]\("$"#,##0\)</c:formatCode>
                <c:ptCount val="5"/>
                <c:pt idx="0">
                  <c:v>103237.5</c:v>
                </c:pt>
                <c:pt idx="1">
                  <c:v>188862.5</c:v>
                </c:pt>
                <c:pt idx="2">
                  <c:v>165750</c:v>
                </c:pt>
                <c:pt idx="3">
                  <c:v>198750</c:v>
                </c:pt>
                <c:pt idx="4">
                  <c:v>375050</c:v>
                </c:pt>
              </c:numCache>
            </c:numRef>
          </c:val>
          <c:extLst>
            <c:ext xmlns:c16="http://schemas.microsoft.com/office/drawing/2014/chart" uri="{C3380CC4-5D6E-409C-BE32-E72D297353CC}">
              <c16:uniqueId val="{00000003-6CF5-4FAE-AD2F-57F9E13985C8}"/>
            </c:ext>
          </c:extLst>
        </c:ser>
        <c:ser>
          <c:idx val="4"/>
          <c:order val="4"/>
          <c:tx>
            <c:strRef>
              <c:f>'Intermediar Analysis'!$H$97:$H$98</c:f>
              <c:strCache>
                <c:ptCount val="1"/>
                <c:pt idx="0">
                  <c:v>Powerade</c:v>
                </c:pt>
              </c:strCache>
            </c:strRef>
          </c:tx>
          <c:spPr>
            <a:solidFill>
              <a:schemeClr val="accent5"/>
            </a:solidFill>
            <a:ln>
              <a:noFill/>
            </a:ln>
            <a:effectLst/>
          </c:spPr>
          <c:invertIfNegative val="0"/>
          <c:cat>
            <c:strRef>
              <c:f>'Intermediar Analysis'!$C$99:$C$104</c:f>
              <c:strCache>
                <c:ptCount val="5"/>
                <c:pt idx="0">
                  <c:v>Midwest</c:v>
                </c:pt>
                <c:pt idx="1">
                  <c:v>Northeast</c:v>
                </c:pt>
                <c:pt idx="2">
                  <c:v>South</c:v>
                </c:pt>
                <c:pt idx="3">
                  <c:v>Southeast</c:v>
                </c:pt>
                <c:pt idx="4">
                  <c:v>West</c:v>
                </c:pt>
              </c:strCache>
            </c:strRef>
          </c:cat>
          <c:val>
            <c:numRef>
              <c:f>'Intermediar Analysis'!$H$99:$H$104</c:f>
              <c:numCache>
                <c:formatCode>"$"#,##0_);[Red]\("$"#,##0\)</c:formatCode>
                <c:ptCount val="5"/>
                <c:pt idx="0">
                  <c:v>147175</c:v>
                </c:pt>
                <c:pt idx="1">
                  <c:v>242875</c:v>
                </c:pt>
                <c:pt idx="2">
                  <c:v>171050</c:v>
                </c:pt>
                <c:pt idx="3">
                  <c:v>262775</c:v>
                </c:pt>
                <c:pt idx="4">
                  <c:v>369762.5</c:v>
                </c:pt>
              </c:numCache>
            </c:numRef>
          </c:val>
          <c:extLst>
            <c:ext xmlns:c16="http://schemas.microsoft.com/office/drawing/2014/chart" uri="{C3380CC4-5D6E-409C-BE32-E72D297353CC}">
              <c16:uniqueId val="{00000004-6CF5-4FAE-AD2F-57F9E13985C8}"/>
            </c:ext>
          </c:extLst>
        </c:ser>
        <c:ser>
          <c:idx val="5"/>
          <c:order val="5"/>
          <c:tx>
            <c:strRef>
              <c:f>'Intermediar Analysis'!$I$97:$I$98</c:f>
              <c:strCache>
                <c:ptCount val="1"/>
                <c:pt idx="0">
                  <c:v>Sprite</c:v>
                </c:pt>
              </c:strCache>
            </c:strRef>
          </c:tx>
          <c:spPr>
            <a:solidFill>
              <a:schemeClr val="accent6"/>
            </a:solidFill>
            <a:ln>
              <a:noFill/>
            </a:ln>
            <a:effectLst/>
          </c:spPr>
          <c:invertIfNegative val="0"/>
          <c:cat>
            <c:strRef>
              <c:f>'Intermediar Analysis'!$C$99:$C$104</c:f>
              <c:strCache>
                <c:ptCount val="5"/>
                <c:pt idx="0">
                  <c:v>Midwest</c:v>
                </c:pt>
                <c:pt idx="1">
                  <c:v>Northeast</c:v>
                </c:pt>
                <c:pt idx="2">
                  <c:v>South</c:v>
                </c:pt>
                <c:pt idx="3">
                  <c:v>Southeast</c:v>
                </c:pt>
                <c:pt idx="4">
                  <c:v>West</c:v>
                </c:pt>
              </c:strCache>
            </c:strRef>
          </c:cat>
          <c:val>
            <c:numRef>
              <c:f>'Intermediar Analysis'!$I$99:$I$104</c:f>
              <c:numCache>
                <c:formatCode>"$"#,##0_);[Red]\("$"#,##0\)</c:formatCode>
                <c:ptCount val="5"/>
                <c:pt idx="0">
                  <c:v>133432.5</c:v>
                </c:pt>
                <c:pt idx="1">
                  <c:v>223690</c:v>
                </c:pt>
                <c:pt idx="2">
                  <c:v>207425</c:v>
                </c:pt>
                <c:pt idx="3">
                  <c:v>209165</c:v>
                </c:pt>
                <c:pt idx="4">
                  <c:v>461875</c:v>
                </c:pt>
              </c:numCache>
            </c:numRef>
          </c:val>
          <c:extLst>
            <c:ext xmlns:c16="http://schemas.microsoft.com/office/drawing/2014/chart" uri="{C3380CC4-5D6E-409C-BE32-E72D297353CC}">
              <c16:uniqueId val="{00000005-6CF5-4FAE-AD2F-57F9E13985C8}"/>
            </c:ext>
          </c:extLst>
        </c:ser>
        <c:dLbls>
          <c:showLegendKey val="0"/>
          <c:showVal val="0"/>
          <c:showCatName val="0"/>
          <c:showSerName val="0"/>
          <c:showPercent val="0"/>
          <c:showBubbleSize val="0"/>
        </c:dLbls>
        <c:gapWidth val="150"/>
        <c:axId val="1306590576"/>
        <c:axId val="1306593456"/>
      </c:barChart>
      <c:catAx>
        <c:axId val="130659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93456"/>
        <c:crosses val="autoZero"/>
        <c:auto val="1"/>
        <c:lblAlgn val="ctr"/>
        <c:lblOffset val="100"/>
        <c:noMultiLvlLbl val="0"/>
      </c:catAx>
      <c:valAx>
        <c:axId val="1306593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9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[Coke-sales-analysis-stubs.xlsx]Intermediar Analysis!PivotTable9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'Intermediar Analysis'!$D$129:$D$130</c:f>
              <c:strCache>
                <c:ptCount val="1"/>
                <c:pt idx="0">
                  <c:v>BevCo</c:v>
                </c:pt>
              </c:strCache>
            </c:strRef>
          </c:tx>
          <c:spPr>
            <a:solidFill>
              <a:schemeClr val="accent1"/>
            </a:solidFill>
            <a:ln>
              <a:noFill/>
            </a:ln>
            <a:effectLst/>
          </c:spPr>
          <c:invertIfNegative val="0"/>
          <c:cat>
            <c:strRef>
              <c:f>'Intermediar Analysis'!$C$131:$C$136</c:f>
              <c:strCache>
                <c:ptCount val="5"/>
                <c:pt idx="0">
                  <c:v>Midwest</c:v>
                </c:pt>
                <c:pt idx="1">
                  <c:v>Northeast</c:v>
                </c:pt>
                <c:pt idx="2">
                  <c:v>South</c:v>
                </c:pt>
                <c:pt idx="3">
                  <c:v>Southeast</c:v>
                </c:pt>
                <c:pt idx="4">
                  <c:v>West</c:v>
                </c:pt>
              </c:strCache>
            </c:strRef>
          </c:cat>
          <c:val>
            <c:numRef>
              <c:f>'Intermediar Analysis'!$D$131:$D$136</c:f>
              <c:numCache>
                <c:formatCode>"$"#,##0_);[Red]\("$"#,##0\)</c:formatCode>
                <c:ptCount val="5"/>
                <c:pt idx="2">
                  <c:v>1291535</c:v>
                </c:pt>
              </c:numCache>
            </c:numRef>
          </c:val>
          <c:extLst>
            <c:ext xmlns:c16="http://schemas.microsoft.com/office/drawing/2014/chart" uri="{C3380CC4-5D6E-409C-BE32-E72D297353CC}">
              <c16:uniqueId val="{00000000-DC83-495B-B811-4BE497F30E5C}"/>
            </c:ext>
          </c:extLst>
        </c:ser>
        <c:ser>
          <c:idx val="1"/>
          <c:order val="1"/>
          <c:tx>
            <c:strRef>
              <c:f>'Intermediar Analysis'!$E$129:$E$130</c:f>
              <c:strCache>
                <c:ptCount val="1"/>
                <c:pt idx="0">
                  <c:v>DreamCo</c:v>
                </c:pt>
              </c:strCache>
            </c:strRef>
          </c:tx>
          <c:spPr>
            <a:solidFill>
              <a:schemeClr val="accent2"/>
            </a:solidFill>
            <a:ln>
              <a:noFill/>
            </a:ln>
            <a:effectLst/>
          </c:spPr>
          <c:invertIfNegative val="0"/>
          <c:cat>
            <c:strRef>
              <c:f>'Intermediar Analysis'!$C$131:$C$136</c:f>
              <c:strCache>
                <c:ptCount val="5"/>
                <c:pt idx="0">
                  <c:v>Midwest</c:v>
                </c:pt>
                <c:pt idx="1">
                  <c:v>Northeast</c:v>
                </c:pt>
                <c:pt idx="2">
                  <c:v>South</c:v>
                </c:pt>
                <c:pt idx="3">
                  <c:v>Southeast</c:v>
                </c:pt>
                <c:pt idx="4">
                  <c:v>West</c:v>
                </c:pt>
              </c:strCache>
            </c:strRef>
          </c:cat>
          <c:val>
            <c:numRef>
              <c:f>'Intermediar Analysis'!$E$131:$E$136</c:f>
              <c:numCache>
                <c:formatCode>"$"#,##0_);[Red]\("$"#,##0\)</c:formatCode>
                <c:ptCount val="5"/>
                <c:pt idx="0">
                  <c:v>153762.5</c:v>
                </c:pt>
                <c:pt idx="4">
                  <c:v>250650</c:v>
                </c:pt>
              </c:numCache>
            </c:numRef>
          </c:val>
          <c:extLst>
            <c:ext xmlns:c16="http://schemas.microsoft.com/office/drawing/2014/chart" uri="{C3380CC4-5D6E-409C-BE32-E72D297353CC}">
              <c16:uniqueId val="{00000001-DC83-495B-B811-4BE497F30E5C}"/>
            </c:ext>
          </c:extLst>
        </c:ser>
        <c:ser>
          <c:idx val="2"/>
          <c:order val="2"/>
          <c:tx>
            <c:strRef>
              <c:f>'Intermediar Analysis'!$F$129:$F$130</c:f>
              <c:strCache>
                <c:ptCount val="1"/>
                <c:pt idx="0">
                  <c:v>FizzySip</c:v>
                </c:pt>
              </c:strCache>
            </c:strRef>
          </c:tx>
          <c:spPr>
            <a:solidFill>
              <a:schemeClr val="accent3"/>
            </a:solidFill>
            <a:ln>
              <a:noFill/>
            </a:ln>
            <a:effectLst/>
          </c:spPr>
          <c:invertIfNegative val="0"/>
          <c:cat>
            <c:strRef>
              <c:f>'Intermediar Analysis'!$C$131:$C$136</c:f>
              <c:strCache>
                <c:ptCount val="5"/>
                <c:pt idx="0">
                  <c:v>Midwest</c:v>
                </c:pt>
                <c:pt idx="1">
                  <c:v>Northeast</c:v>
                </c:pt>
                <c:pt idx="2">
                  <c:v>South</c:v>
                </c:pt>
                <c:pt idx="3">
                  <c:v>Southeast</c:v>
                </c:pt>
                <c:pt idx="4">
                  <c:v>West</c:v>
                </c:pt>
              </c:strCache>
            </c:strRef>
          </c:cat>
          <c:val>
            <c:numRef>
              <c:f>'Intermediar Analysis'!$F$131:$F$136</c:f>
              <c:numCache>
                <c:formatCode>"$"#,##0_);[Red]\("$"#,##0\)</c:formatCode>
                <c:ptCount val="5"/>
                <c:pt idx="4">
                  <c:v>2584450</c:v>
                </c:pt>
              </c:numCache>
            </c:numRef>
          </c:val>
          <c:extLst>
            <c:ext xmlns:c16="http://schemas.microsoft.com/office/drawing/2014/chart" uri="{C3380CC4-5D6E-409C-BE32-E72D297353CC}">
              <c16:uniqueId val="{00000002-DC83-495B-B811-4BE497F30E5C}"/>
            </c:ext>
          </c:extLst>
        </c:ser>
        <c:ser>
          <c:idx val="3"/>
          <c:order val="3"/>
          <c:tx>
            <c:strRef>
              <c:f>'Intermediar Analysis'!$G$129:$G$130</c:f>
              <c:strCache>
                <c:ptCount val="1"/>
                <c:pt idx="0">
                  <c:v>Sodapop</c:v>
                </c:pt>
              </c:strCache>
            </c:strRef>
          </c:tx>
          <c:spPr>
            <a:solidFill>
              <a:schemeClr val="accent4"/>
            </a:solidFill>
            <a:ln>
              <a:noFill/>
            </a:ln>
            <a:effectLst/>
          </c:spPr>
          <c:invertIfNegative val="0"/>
          <c:cat>
            <c:strRef>
              <c:f>'Intermediar Analysis'!$C$131:$C$136</c:f>
              <c:strCache>
                <c:ptCount val="5"/>
                <c:pt idx="0">
                  <c:v>Midwest</c:v>
                </c:pt>
                <c:pt idx="1">
                  <c:v>Northeast</c:v>
                </c:pt>
                <c:pt idx="2">
                  <c:v>South</c:v>
                </c:pt>
                <c:pt idx="3">
                  <c:v>Southeast</c:v>
                </c:pt>
                <c:pt idx="4">
                  <c:v>West</c:v>
                </c:pt>
              </c:strCache>
            </c:strRef>
          </c:cat>
          <c:val>
            <c:numRef>
              <c:f>'Intermediar Analysis'!$G$131:$G$136</c:f>
              <c:numCache>
                <c:formatCode>"$"#,##0_);[Red]\("$"#,##0\)</c:formatCode>
                <c:ptCount val="5"/>
                <c:pt idx="0">
                  <c:v>996347.5</c:v>
                </c:pt>
                <c:pt idx="1">
                  <c:v>1788347.5</c:v>
                </c:pt>
                <c:pt idx="3">
                  <c:v>1618935</c:v>
                </c:pt>
              </c:numCache>
            </c:numRef>
          </c:val>
          <c:extLst>
            <c:ext xmlns:c16="http://schemas.microsoft.com/office/drawing/2014/chart" uri="{C3380CC4-5D6E-409C-BE32-E72D297353CC}">
              <c16:uniqueId val="{00000003-DC83-495B-B811-4BE497F30E5C}"/>
            </c:ext>
          </c:extLst>
        </c:ser>
        <c:dLbls>
          <c:showLegendKey val="0"/>
          <c:showVal val="0"/>
          <c:showCatName val="0"/>
          <c:showSerName val="0"/>
          <c:showPercent val="0"/>
          <c:showBubbleSize val="0"/>
        </c:dLbls>
        <c:gapWidth val="219"/>
        <c:overlap val="100"/>
        <c:axId val="1133792800"/>
        <c:axId val="1133787040"/>
      </c:barChart>
      <c:catAx>
        <c:axId val="113379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87040"/>
        <c:crosses val="autoZero"/>
        <c:auto val="1"/>
        <c:lblAlgn val="ctr"/>
        <c:lblOffset val="100"/>
        <c:noMultiLvlLbl val="0"/>
      </c:catAx>
      <c:valAx>
        <c:axId val="1133787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9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[Coke-sales-analysis-stubs.xlsx]Advanvce Analysis!PivotTable11</c:name>
    <c:fmtId val="14"/>
  </c:pivotSource>
  <c:chart>
    <c:title>
      <c:tx>
        <c:rich>
          <a:bodyPr rot="0" spcFirstLastPara="1" vertOverflow="ellipsis" vert="horz" wrap="square" anchor="ctr" anchorCtr="1"/>
          <a:lstStyle/>
          <a:p>
            <a:pPr>
              <a:defRPr sz="1400" b="0" i="0" u="none" strike="noStrike" kern="1200" spc="0" baseline="0">
                <a:ln>
                  <a:solidFill>
                    <a:schemeClr val="tx2">
                      <a:lumMod val="95000"/>
                      <a:lumOff val="5000"/>
                    </a:schemeClr>
                  </a:solidFill>
                </a:ln>
                <a:solidFill>
                  <a:schemeClr val="tx1">
                    <a:lumMod val="65000"/>
                    <a:lumOff val="35000"/>
                  </a:schemeClr>
                </a:solidFill>
                <a:latin typeface="+mn-lt"/>
                <a:ea typeface="+mn-ea"/>
                <a:cs typeface="+mn-cs"/>
              </a:defRPr>
            </a:pPr>
            <a:r>
              <a:rPr lang="en-IN" b="1">
                <a:ln>
                  <a:solidFill>
                    <a:schemeClr val="tx2">
                      <a:lumMod val="95000"/>
                      <a:lumOff val="5000"/>
                    </a:schemeClr>
                  </a:solidFill>
                </a:ln>
                <a:solidFill>
                  <a:schemeClr val="tx2"/>
                </a:solidFill>
              </a:rPr>
              <a:t>Sales</a:t>
            </a:r>
            <a:r>
              <a:rPr lang="en-IN" b="1" baseline="0">
                <a:ln>
                  <a:solidFill>
                    <a:schemeClr val="tx2">
                      <a:lumMod val="95000"/>
                      <a:lumOff val="5000"/>
                    </a:schemeClr>
                  </a:solidFill>
                </a:ln>
                <a:solidFill>
                  <a:schemeClr val="tx2"/>
                </a:solidFill>
              </a:rPr>
              <a:t> Trend for region by Brand</a:t>
            </a:r>
            <a:endParaRPr lang="en-IN" b="1">
              <a:ln>
                <a:solidFill>
                  <a:schemeClr val="tx2">
                    <a:lumMod val="95000"/>
                    <a:lumOff val="5000"/>
                  </a:schemeClr>
                </a:solidFill>
              </a:ln>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2">
                    <a:lumMod val="95000"/>
                    <a:lumOff val="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'Advanvce Analysis'!$D$5:$D$7</c:f>
              <c:strCache>
                <c:ptCount val="1"/>
                <c:pt idx="0">
                  <c:v>Midwest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'Advanvce Analysis'!$C$8:$C$20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'Advanvce Analysis'!$D$8:$D$20</c:f>
              <c:numCache>
                <c:formatCode>"$"#,##0_);[Red]\("$"#,##0\)</c:formatCode>
                <c:ptCount val="12"/>
                <c:pt idx="0">
                  <c:v>80087.5</c:v>
                </c:pt>
                <c:pt idx="1">
                  <c:v>73762.5</c:v>
                </c:pt>
                <c:pt idx="2">
                  <c:v>68072.5</c:v>
                </c:pt>
                <c:pt idx="3">
                  <c:v>65762.5</c:v>
                </c:pt>
                <c:pt idx="4">
                  <c:v>97392.5</c:v>
                </c:pt>
                <c:pt idx="5">
                  <c:v>101637.5</c:v>
                </c:pt>
                <c:pt idx="6">
                  <c:v>131387.5</c:v>
                </c:pt>
                <c:pt idx="7">
                  <c:v>120312.5</c:v>
                </c:pt>
                <c:pt idx="8">
                  <c:v>81087.5</c:v>
                </c:pt>
                <c:pt idx="9">
                  <c:v>82800</c:v>
                </c:pt>
                <c:pt idx="10">
                  <c:v>102420</c:v>
                </c:pt>
                <c:pt idx="11">
                  <c:v>145387.5</c:v>
                </c:pt>
              </c:numCache>
            </c:numRef>
          </c:val>
          <c:smooth val="0"/>
          <c:extLst>
            <c:ext xmlns:c16="http://schemas.microsoft.com/office/drawing/2014/chart" uri="{C3380CC4-5D6E-409C-BE32-E72D297353CC}">
              <c16:uniqueId val="{00000000-116D-47E4-B75F-3DA26FBC3AB8}"/>
            </c:ext>
          </c:extLst>
        </c:ser>
        <c:ser>
          <c:idx val="1"/>
          <c:order val="1"/>
          <c:tx>
            <c:strRef>
              <c:f>'Advanvce Analysis'!$E$5:$E$7</c:f>
              <c:strCache>
                <c:ptCount val="1"/>
                <c:pt idx="0">
                  <c:v>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'Advanvce Analysis'!$C$8:$C$20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'Advanvce Analysis'!$E$8:$E$20</c:f>
              <c:numCache>
                <c:formatCode>"$"#,##0_);[Red]\("$"#,##0\)</c:formatCode>
                <c:ptCount val="12"/>
                <c:pt idx="0">
                  <c:v>115737.5</c:v>
                </c:pt>
                <c:pt idx="1">
                  <c:v>112650</c:v>
                </c:pt>
                <c:pt idx="2">
                  <c:v>104985</c:v>
                </c:pt>
                <c:pt idx="3">
                  <c:v>101175</c:v>
                </c:pt>
                <c:pt idx="4">
                  <c:v>154247.5</c:v>
                </c:pt>
                <c:pt idx="5">
                  <c:v>176437.5</c:v>
                </c:pt>
                <c:pt idx="6">
                  <c:v>187900</c:v>
                </c:pt>
                <c:pt idx="7">
                  <c:v>173362.5</c:v>
                </c:pt>
                <c:pt idx="8">
                  <c:v>142037.5</c:v>
                </c:pt>
                <c:pt idx="9">
                  <c:v>143887.5</c:v>
                </c:pt>
                <c:pt idx="10">
                  <c:v>173315</c:v>
                </c:pt>
                <c:pt idx="11">
                  <c:v>202612.5</c:v>
                </c:pt>
              </c:numCache>
            </c:numRef>
          </c:val>
          <c:smooth val="0"/>
          <c:extLst>
            <c:ext xmlns:c16="http://schemas.microsoft.com/office/drawing/2014/chart" uri="{C3380CC4-5D6E-409C-BE32-E72D297353CC}">
              <c16:uniqueId val="{00000001-116D-47E4-B75F-3DA26FBC3AB8}"/>
            </c:ext>
          </c:extLst>
        </c:ser>
        <c:ser>
          <c:idx val="2"/>
          <c:order val="2"/>
          <c:tx>
            <c:strRef>
              <c:f>'Advanvce Analysis'!$F$5:$F$7</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'Advanvce Analysis'!$C$8:$C$20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'Advanvce Analysis'!$F$8:$F$20</c:f>
              <c:numCache>
                <c:formatCode>"$"#,##0_);[Red]\("$"#,##0\)</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smooth val="0"/>
          <c:extLst>
            <c:ext xmlns:c16="http://schemas.microsoft.com/office/drawing/2014/chart" uri="{C3380CC4-5D6E-409C-BE32-E72D297353CC}">
              <c16:uniqueId val="{00000002-116D-47E4-B75F-3DA26FBC3AB8}"/>
            </c:ext>
          </c:extLst>
        </c:ser>
        <c:ser>
          <c:idx val="3"/>
          <c:order val="3"/>
          <c:tx>
            <c:strRef>
              <c:f>'Advanvce Analysis'!$G$5:$G$7</c:f>
              <c:strCache>
                <c:ptCount val="1"/>
                <c:pt idx="0">
                  <c:v>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'Advanvce Analysis'!$C$8:$C$20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'Advanvce Analysis'!$G$8:$G$20</c:f>
              <c:numCache>
                <c:formatCode>"$"#,##0_);[Red]\("$"#,##0\)</c:formatCode>
                <c:ptCount val="12"/>
                <c:pt idx="0">
                  <c:v>104750</c:v>
                </c:pt>
                <c:pt idx="1">
                  <c:v>99500</c:v>
                </c:pt>
                <c:pt idx="2">
                  <c:v>86102.5</c:v>
                </c:pt>
                <c:pt idx="3">
                  <c:v>88525</c:v>
                </c:pt>
                <c:pt idx="4">
                  <c:v>133555</c:v>
                </c:pt>
                <c:pt idx="5">
                  <c:v>162687.5</c:v>
                </c:pt>
                <c:pt idx="6">
                  <c:v>191425</c:v>
                </c:pt>
                <c:pt idx="7">
                  <c:v>170700</c:v>
                </c:pt>
                <c:pt idx="8">
                  <c:v>124537.5</c:v>
                </c:pt>
                <c:pt idx="9">
                  <c:v>119525</c:v>
                </c:pt>
                <c:pt idx="10">
                  <c:v>146152.5</c:v>
                </c:pt>
                <c:pt idx="11">
                  <c:v>191475</c:v>
                </c:pt>
              </c:numCache>
            </c:numRef>
          </c:val>
          <c:smooth val="0"/>
          <c:extLst>
            <c:ext xmlns:c16="http://schemas.microsoft.com/office/drawing/2014/chart" uri="{C3380CC4-5D6E-409C-BE32-E72D297353CC}">
              <c16:uniqueId val="{00000003-116D-47E4-B75F-3DA26FBC3AB8}"/>
            </c:ext>
          </c:extLst>
        </c:ser>
        <c:ser>
          <c:idx val="4"/>
          <c:order val="4"/>
          <c:tx>
            <c:strRef>
              <c:f>'Advanvce Analysis'!$H$5:$H$7</c:f>
              <c:strCache>
                <c:ptCount val="1"/>
                <c:pt idx="0">
                  <c:v>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'Advanvce Analysis'!$C$8:$C$20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'Advanvce Analysis'!$H$8:$H$20</c:f>
              <c:numCache>
                <c:formatCode>"$"#,##0_);[Red]\("$"#,##0\)</c:formatCode>
                <c:ptCount val="12"/>
                <c:pt idx="0">
                  <c:v>139512.5</c:v>
                </c:pt>
                <c:pt idx="1">
                  <c:v>132587.5</c:v>
                </c:pt>
                <c:pt idx="2">
                  <c:v>158525</c:v>
                </c:pt>
                <c:pt idx="3">
                  <c:v>178762.5</c:v>
                </c:pt>
                <c:pt idx="4">
                  <c:v>198412.5</c:v>
                </c:pt>
                <c:pt idx="5">
                  <c:v>328537.5</c:v>
                </c:pt>
                <c:pt idx="6">
                  <c:v>372812.5</c:v>
                </c:pt>
                <c:pt idx="7">
                  <c:v>328625</c:v>
                </c:pt>
                <c:pt idx="8">
                  <c:v>216112.5</c:v>
                </c:pt>
                <c:pt idx="9">
                  <c:v>195475</c:v>
                </c:pt>
                <c:pt idx="10">
                  <c:v>254925</c:v>
                </c:pt>
                <c:pt idx="11">
                  <c:v>330812.5</c:v>
                </c:pt>
              </c:numCache>
            </c:numRef>
          </c:val>
          <c:smooth val="0"/>
          <c:extLst>
            <c:ext xmlns:c16="http://schemas.microsoft.com/office/drawing/2014/chart" uri="{C3380CC4-5D6E-409C-BE32-E72D297353CC}">
              <c16:uniqueId val="{00000004-116D-47E4-B75F-3DA26FBC3AB8}"/>
            </c:ext>
          </c:extLst>
        </c:ser>
        <c:dLbls>
          <c:showLegendKey val="0"/>
          <c:showVal val="0"/>
          <c:showCatName val="0"/>
          <c:showSerName val="0"/>
          <c:showPercent val="0"/>
          <c:showBubbleSize val="0"/>
        </c:dLbls>
        <c:marker val="1"/>
        <c:smooth val="0"/>
        <c:axId val="991114752"/>
        <c:axId val="991126272"/>
      </c:lineChart>
      <c:catAx>
        <c:axId val="9911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126272"/>
        <c:crosses val="autoZero"/>
        <c:auto val="1"/>
        <c:lblAlgn val="ctr"/>
        <c:lblOffset val="100"/>
        <c:noMultiLvlLbl val="0"/>
      </c:catAx>
      <c:valAx>
        <c:axId val="99112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11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[Coke-sales-analysis-stubs.xlsx]Advanvce 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Sum</a:t>
            </a:r>
            <a:r>
              <a:rPr lang="en-IN" b="1" baseline="0"/>
              <a:t> of Units Sold by Retailer &amp; Beverage Brand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'Advanvce Analysis'!$G$41</c:f>
              <c:strCache>
                <c:ptCount val="1"/>
                <c:pt idx="0">
                  <c:v>Total</c:v>
                </c:pt>
              </c:strCache>
            </c:strRef>
          </c:tx>
          <c:spPr>
            <a:solidFill>
              <a:schemeClr val="accent1"/>
            </a:solidFill>
            <a:ln>
              <a:noFill/>
            </a:ln>
            <a:effectLst/>
          </c:spPr>
          <c:invertIfNegative val="0"/>
          <c:cat>
            <c:strRef>
              <c:f>'Advanvce Analysis'!$F$42:$F$46</c:f>
              <c:strCache>
                <c:ptCount val="4"/>
                <c:pt idx="0">
                  <c:v>BevCo</c:v>
                </c:pt>
                <c:pt idx="1">
                  <c:v>DreamCo</c:v>
                </c:pt>
                <c:pt idx="2">
                  <c:v>FizzySip</c:v>
                </c:pt>
                <c:pt idx="3">
                  <c:v>Sodapop</c:v>
                </c:pt>
              </c:strCache>
            </c:strRef>
          </c:cat>
          <c:val>
            <c:numRef>
              <c:f>'Advanvce Analysis'!$G$42:$G$46</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0-FE5A-4794-9B4D-61675CF406D3}"/>
            </c:ext>
          </c:extLst>
        </c:ser>
        <c:dLbls>
          <c:showLegendKey val="0"/>
          <c:showVal val="0"/>
          <c:showCatName val="0"/>
          <c:showSerName val="0"/>
          <c:showPercent val="0"/>
          <c:showBubbleSize val="0"/>
        </c:dLbls>
        <c:gapWidth val="219"/>
        <c:overlap val="-27"/>
        <c:axId val="1273257696"/>
        <c:axId val="1273255776"/>
      </c:barChart>
      <c:catAx>
        <c:axId val="127325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55776"/>
        <c:crosses val="autoZero"/>
        <c:auto val="1"/>
        <c:lblAlgn val="ctr"/>
        <c:lblOffset val="100"/>
        <c:noMultiLvlLbl val="0"/>
      </c:catAx>
      <c:valAx>
        <c:axId val="1273255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5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0</xdr:colOff>
      <xdr:row>5</xdr:row>
      <xdr:rowOff>0</xdr:rowOff>
    </xdr:from>
    <xdr:to>
      <xdr:col>19</xdr:col>
      <xdr:colOff>6350</xdr:colOff>
      <xdr:row>17</xdr:row>
      <xdr:rowOff>25400</xdr:rowOff>
    </xdr:to>
    <xdr:graphicFrame macro="">
      <xdr:nvGraphicFramePr>
        <xdr:cNvPr id="3" name="Chart 2">
          <a:extLst>
            <a:ext uri="{FF2B5EF4-FFF2-40B4-BE49-F238E27FC236}">
              <a16:creationId xmlns:a16="http://schemas.microsoft.com/office/drawing/2014/main" id="{9577674E-AF9D-65B8-5272-FFF23E588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25</xdr:row>
      <xdr:rowOff>76993</xdr:rowOff>
    </xdr:from>
    <xdr:to>
      <xdr:col>19</xdr:col>
      <xdr:colOff>47625</xdr:colOff>
      <xdr:row>40</xdr:row>
      <xdr:rowOff>81756</xdr:rowOff>
    </xdr:to>
    <xdr:graphicFrame macro="">
      <xdr:nvGraphicFramePr>
        <xdr:cNvPr id="5" name="Chart 4">
          <a:extLst>
            <a:ext uri="{FF2B5EF4-FFF2-40B4-BE49-F238E27FC236}">
              <a16:creationId xmlns:a16="http://schemas.microsoft.com/office/drawing/2014/main" id="{796ED91E-33BF-6930-A426-EED5314A0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51593</xdr:colOff>
      <xdr:row>47</xdr:row>
      <xdr:rowOff>140494</xdr:rowOff>
    </xdr:from>
    <xdr:to>
      <xdr:col>19</xdr:col>
      <xdr:colOff>230187</xdr:colOff>
      <xdr:row>62</xdr:row>
      <xdr:rowOff>145256</xdr:rowOff>
    </xdr:to>
    <xdr:graphicFrame macro="">
      <xdr:nvGraphicFramePr>
        <xdr:cNvPr id="6" name="Chart 5">
          <a:extLst>
            <a:ext uri="{FF2B5EF4-FFF2-40B4-BE49-F238E27FC236}">
              <a16:creationId xmlns:a16="http://schemas.microsoft.com/office/drawing/2014/main" id="{218B5C42-20AE-B360-8B1F-3D4054E76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7938</xdr:colOff>
      <xdr:row>71</xdr:row>
      <xdr:rowOff>50095</xdr:rowOff>
    </xdr:from>
    <xdr:to>
      <xdr:col>19</xdr:col>
      <xdr:colOff>165805</xdr:colOff>
      <xdr:row>89</xdr:row>
      <xdr:rowOff>23813</xdr:rowOff>
    </xdr:to>
    <xdr:graphicFrame macro="">
      <xdr:nvGraphicFramePr>
        <xdr:cNvPr id="7" name="Chart 6">
          <a:extLst>
            <a:ext uri="{FF2B5EF4-FFF2-40B4-BE49-F238E27FC236}">
              <a16:creationId xmlns:a16="http://schemas.microsoft.com/office/drawing/2014/main" id="{006DEDA5-1EAB-3EF1-4946-57EF122C8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3174</xdr:colOff>
      <xdr:row>4</xdr:row>
      <xdr:rowOff>6350</xdr:rowOff>
    </xdr:from>
    <xdr:to>
      <xdr:col>18</xdr:col>
      <xdr:colOff>609599</xdr:colOff>
      <xdr:row>18</xdr:row>
      <xdr:rowOff>177800</xdr:rowOff>
    </xdr:to>
    <xdr:graphicFrame macro="">
      <xdr:nvGraphicFramePr>
        <xdr:cNvPr id="2" name="Chart 1">
          <a:extLst>
            <a:ext uri="{FF2B5EF4-FFF2-40B4-BE49-F238E27FC236}">
              <a16:creationId xmlns:a16="http://schemas.microsoft.com/office/drawing/2014/main" id="{AF133701-DF53-BB0E-7337-2D977D9CC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11905</xdr:colOff>
      <xdr:row>34</xdr:row>
      <xdr:rowOff>15875</xdr:rowOff>
    </xdr:from>
    <xdr:to>
      <xdr:col>18</xdr:col>
      <xdr:colOff>47625</xdr:colOff>
      <xdr:row>49</xdr:row>
      <xdr:rowOff>31750</xdr:rowOff>
    </xdr:to>
    <xdr:graphicFrame macro="">
      <xdr:nvGraphicFramePr>
        <xdr:cNvPr id="3" name="Chart 2">
          <a:extLst>
            <a:ext uri="{FF2B5EF4-FFF2-40B4-BE49-F238E27FC236}">
              <a16:creationId xmlns:a16="http://schemas.microsoft.com/office/drawing/2014/main" id="{BE3E4695-57B1-2A51-5A60-201CC5FBB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40821</xdr:colOff>
      <xdr:row>63</xdr:row>
      <xdr:rowOff>147864</xdr:rowOff>
    </xdr:from>
    <xdr:to>
      <xdr:col>17</xdr:col>
      <xdr:colOff>36284</xdr:colOff>
      <xdr:row>77</xdr:row>
      <xdr:rowOff>154214</xdr:rowOff>
    </xdr:to>
    <xdr:graphicFrame macro="">
      <xdr:nvGraphicFramePr>
        <xdr:cNvPr id="4" name="Chart 3">
          <a:extLst>
            <a:ext uri="{FF2B5EF4-FFF2-40B4-BE49-F238E27FC236}">
              <a16:creationId xmlns:a16="http://schemas.microsoft.com/office/drawing/2014/main" id="{2788F3A8-5289-DB0E-4148-6EFE9614F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603249</xdr:colOff>
      <xdr:row>93</xdr:row>
      <xdr:rowOff>2721</xdr:rowOff>
    </xdr:from>
    <xdr:to>
      <xdr:col>18</xdr:col>
      <xdr:colOff>580570</xdr:colOff>
      <xdr:row>108</xdr:row>
      <xdr:rowOff>24492</xdr:rowOff>
    </xdr:to>
    <xdr:graphicFrame macro="">
      <xdr:nvGraphicFramePr>
        <xdr:cNvPr id="5" name="Chart 4">
          <a:extLst>
            <a:ext uri="{FF2B5EF4-FFF2-40B4-BE49-F238E27FC236}">
              <a16:creationId xmlns:a16="http://schemas.microsoft.com/office/drawing/2014/main" id="{F88F6AC3-9A84-7952-FA88-9DA1202B9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748392</xdr:colOff>
      <xdr:row>124</xdr:row>
      <xdr:rowOff>11793</xdr:rowOff>
    </xdr:from>
    <xdr:to>
      <xdr:col>19</xdr:col>
      <xdr:colOff>27213</xdr:colOff>
      <xdr:row>139</xdr:row>
      <xdr:rowOff>33565</xdr:rowOff>
    </xdr:to>
    <xdr:graphicFrame macro="">
      <xdr:nvGraphicFramePr>
        <xdr:cNvPr id="6" name="Chart 5">
          <a:extLst>
            <a:ext uri="{FF2B5EF4-FFF2-40B4-BE49-F238E27FC236}">
              <a16:creationId xmlns:a16="http://schemas.microsoft.com/office/drawing/2014/main" id="{3AEC8B8E-2429-5548-EBC8-0B84D45D6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663574</xdr:colOff>
      <xdr:row>5</xdr:row>
      <xdr:rowOff>6350</xdr:rowOff>
    </xdr:from>
    <xdr:to>
      <xdr:col>17</xdr:col>
      <xdr:colOff>647699</xdr:colOff>
      <xdr:row>19</xdr:row>
      <xdr:rowOff>171450</xdr:rowOff>
    </xdr:to>
    <xdr:graphicFrame macro="">
      <xdr:nvGraphicFramePr>
        <xdr:cNvPr id="3" name="Chart 2">
          <a:extLst>
            <a:ext uri="{FF2B5EF4-FFF2-40B4-BE49-F238E27FC236}">
              <a16:creationId xmlns:a16="http://schemas.microsoft.com/office/drawing/2014/main" id="{F6643ED5-1017-A661-F2C3-E461D9378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242093</xdr:colOff>
      <xdr:row>37</xdr:row>
      <xdr:rowOff>172243</xdr:rowOff>
    </xdr:from>
    <xdr:to>
      <xdr:col>16</xdr:col>
      <xdr:colOff>662781</xdr:colOff>
      <xdr:row>52</xdr:row>
      <xdr:rowOff>177006</xdr:rowOff>
    </xdr:to>
    <xdr:graphicFrame macro="">
      <xdr:nvGraphicFramePr>
        <xdr:cNvPr id="4" name="Chart 3">
          <a:extLst>
            <a:ext uri="{FF2B5EF4-FFF2-40B4-BE49-F238E27FC236}">
              <a16:creationId xmlns:a16="http://schemas.microsoft.com/office/drawing/2014/main" id="{153EF23D-0C68-8344-733C-B346D0B17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1.885616782405" createdVersion="8" refreshedVersion="8" minRefreshableVersion="3" recordCount="3888" xr:uid="{C10C9560-C642-42FB-B286-735C77ED3646}">
  <cacheSource type="worksheet">
    <worksheetSource ref="B5:M3893" sheet="Data"/>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758">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x v="0"/>
    <x v="0"/>
    <x v="0"/>
    <s v="New York"/>
    <s v="New York"/>
    <x v="0"/>
    <n v="0.5"/>
    <n v="12000"/>
    <x v="0"/>
    <n v="3000"/>
    <n v="0.5"/>
  </r>
  <r>
    <x v="0"/>
    <x v="0"/>
    <x v="0"/>
    <x v="0"/>
    <s v="New York"/>
    <s v="New York"/>
    <x v="1"/>
    <n v="0.5"/>
    <n v="10000"/>
    <x v="1"/>
    <n v="1500"/>
    <n v="0.3"/>
  </r>
  <r>
    <x v="0"/>
    <x v="0"/>
    <x v="0"/>
    <x v="0"/>
    <s v="New York"/>
    <s v="New York"/>
    <x v="2"/>
    <n v="0.4"/>
    <n v="10000"/>
    <x v="2"/>
    <n v="1400"/>
    <n v="0.35"/>
  </r>
  <r>
    <x v="0"/>
    <x v="0"/>
    <x v="0"/>
    <x v="0"/>
    <s v="New York"/>
    <s v="New York"/>
    <x v="3"/>
    <n v="0.45"/>
    <n v="8500"/>
    <x v="3"/>
    <n v="1338.75"/>
    <n v="0.35"/>
  </r>
  <r>
    <x v="0"/>
    <x v="0"/>
    <x v="0"/>
    <x v="0"/>
    <s v="New York"/>
    <s v="New York"/>
    <x v="4"/>
    <n v="0.6"/>
    <n v="9000"/>
    <x v="4"/>
    <n v="1620"/>
    <n v="0.3"/>
  </r>
  <r>
    <x v="0"/>
    <x v="0"/>
    <x v="0"/>
    <x v="0"/>
    <s v="New York"/>
    <s v="New York"/>
    <x v="5"/>
    <n v="0.5"/>
    <n v="10000"/>
    <x v="1"/>
    <n v="1250"/>
    <n v="0.25"/>
  </r>
  <r>
    <x v="0"/>
    <x v="0"/>
    <x v="1"/>
    <x v="0"/>
    <s v="New York"/>
    <s v="New York"/>
    <x v="0"/>
    <n v="0.5"/>
    <n v="12500"/>
    <x v="5"/>
    <n v="3125"/>
    <n v="0.5"/>
  </r>
  <r>
    <x v="0"/>
    <x v="0"/>
    <x v="1"/>
    <x v="0"/>
    <s v="New York"/>
    <s v="New York"/>
    <x v="1"/>
    <n v="0.5"/>
    <n v="9000"/>
    <x v="6"/>
    <n v="1350"/>
    <n v="0.3"/>
  </r>
  <r>
    <x v="0"/>
    <x v="0"/>
    <x v="1"/>
    <x v="0"/>
    <s v="New York"/>
    <s v="New York"/>
    <x v="2"/>
    <n v="0.4"/>
    <n v="9500"/>
    <x v="7"/>
    <n v="1330"/>
    <n v="0.35"/>
  </r>
  <r>
    <x v="0"/>
    <x v="0"/>
    <x v="1"/>
    <x v="0"/>
    <s v="New York"/>
    <s v="New York"/>
    <x v="3"/>
    <n v="0.45"/>
    <n v="8250"/>
    <x v="8"/>
    <n v="1299.375"/>
    <n v="0.35"/>
  </r>
  <r>
    <x v="0"/>
    <x v="0"/>
    <x v="1"/>
    <x v="0"/>
    <s v="New York"/>
    <s v="New York"/>
    <x v="4"/>
    <n v="0.6"/>
    <n v="9000"/>
    <x v="4"/>
    <n v="1620"/>
    <n v="0.3"/>
  </r>
  <r>
    <x v="0"/>
    <x v="0"/>
    <x v="1"/>
    <x v="0"/>
    <s v="New York"/>
    <s v="New York"/>
    <x v="5"/>
    <n v="0.5"/>
    <n v="10000"/>
    <x v="1"/>
    <n v="1250"/>
    <n v="0.25"/>
  </r>
  <r>
    <x v="0"/>
    <x v="0"/>
    <x v="2"/>
    <x v="0"/>
    <s v="New York"/>
    <s v="New York"/>
    <x v="0"/>
    <n v="0.5"/>
    <n v="12200"/>
    <x v="9"/>
    <n v="3050"/>
    <n v="0.5"/>
  </r>
  <r>
    <x v="0"/>
    <x v="0"/>
    <x v="2"/>
    <x v="0"/>
    <s v="New York"/>
    <s v="New York"/>
    <x v="1"/>
    <n v="0.5"/>
    <n v="9250"/>
    <x v="10"/>
    <n v="1387.5"/>
    <n v="0.3"/>
  </r>
  <r>
    <x v="0"/>
    <x v="0"/>
    <x v="2"/>
    <x v="0"/>
    <s v="New York"/>
    <s v="New York"/>
    <x v="2"/>
    <n v="0.4"/>
    <n v="9500"/>
    <x v="7"/>
    <n v="1330"/>
    <n v="0.35"/>
  </r>
  <r>
    <x v="0"/>
    <x v="0"/>
    <x v="2"/>
    <x v="0"/>
    <s v="New York"/>
    <s v="New York"/>
    <x v="3"/>
    <n v="0.45"/>
    <n v="8000"/>
    <x v="11"/>
    <n v="1260"/>
    <n v="0.35"/>
  </r>
  <r>
    <x v="0"/>
    <x v="0"/>
    <x v="2"/>
    <x v="0"/>
    <s v="New York"/>
    <s v="New York"/>
    <x v="4"/>
    <n v="0.6"/>
    <n v="8500"/>
    <x v="12"/>
    <n v="1530"/>
    <n v="0.3"/>
  </r>
  <r>
    <x v="0"/>
    <x v="0"/>
    <x v="2"/>
    <x v="0"/>
    <s v="New York"/>
    <s v="New York"/>
    <x v="5"/>
    <n v="0.5"/>
    <n v="9500"/>
    <x v="13"/>
    <n v="1187.5"/>
    <n v="0.25"/>
  </r>
  <r>
    <x v="0"/>
    <x v="0"/>
    <x v="3"/>
    <x v="0"/>
    <s v="New York"/>
    <s v="New York"/>
    <x v="0"/>
    <n v="0.5"/>
    <n v="12000"/>
    <x v="0"/>
    <n v="3000"/>
    <n v="0.5"/>
  </r>
  <r>
    <x v="0"/>
    <x v="0"/>
    <x v="3"/>
    <x v="0"/>
    <s v="New York"/>
    <s v="New York"/>
    <x v="1"/>
    <n v="0.5"/>
    <n v="9000"/>
    <x v="6"/>
    <n v="1350"/>
    <n v="0.3"/>
  </r>
  <r>
    <x v="0"/>
    <x v="0"/>
    <x v="3"/>
    <x v="0"/>
    <s v="New York"/>
    <s v="New York"/>
    <x v="2"/>
    <n v="0.4"/>
    <n v="9000"/>
    <x v="11"/>
    <n v="1260"/>
    <n v="0.35"/>
  </r>
  <r>
    <x v="0"/>
    <x v="0"/>
    <x v="3"/>
    <x v="0"/>
    <s v="New York"/>
    <s v="New York"/>
    <x v="3"/>
    <n v="0.45"/>
    <n v="8250"/>
    <x v="8"/>
    <n v="1299.375"/>
    <n v="0.35"/>
  </r>
  <r>
    <x v="0"/>
    <x v="0"/>
    <x v="3"/>
    <x v="0"/>
    <s v="New York"/>
    <s v="New York"/>
    <x v="4"/>
    <n v="0.6"/>
    <n v="8250"/>
    <x v="14"/>
    <n v="1485"/>
    <n v="0.3"/>
  </r>
  <r>
    <x v="0"/>
    <x v="0"/>
    <x v="3"/>
    <x v="0"/>
    <s v="New York"/>
    <s v="New York"/>
    <x v="5"/>
    <n v="0.5"/>
    <n v="9500"/>
    <x v="13"/>
    <n v="1187.5"/>
    <n v="0.25"/>
  </r>
  <r>
    <x v="0"/>
    <x v="0"/>
    <x v="4"/>
    <x v="0"/>
    <s v="New York"/>
    <s v="New York"/>
    <x v="0"/>
    <n v="0.6"/>
    <n v="12200"/>
    <x v="15"/>
    <n v="3660"/>
    <n v="0.5"/>
  </r>
  <r>
    <x v="0"/>
    <x v="0"/>
    <x v="4"/>
    <x v="0"/>
    <s v="New York"/>
    <s v="New York"/>
    <x v="1"/>
    <n v="0.55000000000000004"/>
    <n v="9250"/>
    <x v="16"/>
    <n v="1526.25"/>
    <n v="0.3"/>
  </r>
  <r>
    <x v="0"/>
    <x v="0"/>
    <x v="4"/>
    <x v="0"/>
    <s v="New York"/>
    <s v="New York"/>
    <x v="2"/>
    <n v="0.5"/>
    <n v="9000"/>
    <x v="6"/>
    <n v="1575"/>
    <n v="0.35"/>
  </r>
  <r>
    <x v="0"/>
    <x v="0"/>
    <x v="4"/>
    <x v="0"/>
    <s v="New York"/>
    <s v="New York"/>
    <x v="3"/>
    <n v="0.5"/>
    <n v="8500"/>
    <x v="17"/>
    <n v="1487.5"/>
    <n v="0.35"/>
  </r>
  <r>
    <x v="0"/>
    <x v="0"/>
    <x v="4"/>
    <x v="0"/>
    <s v="New York"/>
    <s v="New York"/>
    <x v="4"/>
    <n v="0.6"/>
    <n v="8750"/>
    <x v="18"/>
    <n v="1575"/>
    <n v="0.3"/>
  </r>
  <r>
    <x v="0"/>
    <x v="0"/>
    <x v="4"/>
    <x v="0"/>
    <s v="New York"/>
    <s v="New York"/>
    <x v="5"/>
    <n v="0.65"/>
    <n v="10000"/>
    <x v="19"/>
    <n v="1625"/>
    <n v="0.25"/>
  </r>
  <r>
    <x v="0"/>
    <x v="0"/>
    <x v="5"/>
    <x v="0"/>
    <s v="New York"/>
    <s v="New York"/>
    <x v="0"/>
    <n v="0.6"/>
    <n v="12500"/>
    <x v="20"/>
    <n v="3750"/>
    <n v="0.5"/>
  </r>
  <r>
    <x v="0"/>
    <x v="0"/>
    <x v="5"/>
    <x v="0"/>
    <s v="New York"/>
    <s v="New York"/>
    <x v="1"/>
    <n v="0.55000000000000004"/>
    <n v="10000"/>
    <x v="21"/>
    <n v="1650"/>
    <n v="0.3"/>
  </r>
  <r>
    <x v="0"/>
    <x v="0"/>
    <x v="5"/>
    <x v="0"/>
    <s v="New York"/>
    <s v="New York"/>
    <x v="2"/>
    <n v="0.5"/>
    <n v="9250"/>
    <x v="10"/>
    <n v="1618.75"/>
    <n v="0.35"/>
  </r>
  <r>
    <x v="0"/>
    <x v="0"/>
    <x v="5"/>
    <x v="0"/>
    <s v="New York"/>
    <s v="New York"/>
    <x v="3"/>
    <n v="0.5"/>
    <n v="9000"/>
    <x v="6"/>
    <n v="1575"/>
    <n v="0.35"/>
  </r>
  <r>
    <x v="0"/>
    <x v="0"/>
    <x v="5"/>
    <x v="0"/>
    <s v="New York"/>
    <s v="New York"/>
    <x v="4"/>
    <n v="0.6"/>
    <n v="9000"/>
    <x v="4"/>
    <n v="1620"/>
    <n v="0.3"/>
  </r>
  <r>
    <x v="0"/>
    <x v="0"/>
    <x v="5"/>
    <x v="0"/>
    <s v="New York"/>
    <s v="New York"/>
    <x v="5"/>
    <n v="0.65"/>
    <n v="10500"/>
    <x v="22"/>
    <n v="1706.25"/>
    <n v="0.25"/>
  </r>
  <r>
    <x v="0"/>
    <x v="0"/>
    <x v="6"/>
    <x v="0"/>
    <s v="New York"/>
    <s v="New York"/>
    <x v="0"/>
    <n v="0.6"/>
    <n v="12750"/>
    <x v="23"/>
    <n v="3825"/>
    <n v="0.5"/>
  </r>
  <r>
    <x v="0"/>
    <x v="0"/>
    <x v="6"/>
    <x v="0"/>
    <s v="New York"/>
    <s v="New York"/>
    <x v="1"/>
    <n v="0.55000000000000004"/>
    <n v="10250"/>
    <x v="24"/>
    <n v="1691.2500000000002"/>
    <n v="0.3"/>
  </r>
  <r>
    <x v="0"/>
    <x v="0"/>
    <x v="6"/>
    <x v="0"/>
    <s v="New York"/>
    <s v="New York"/>
    <x v="2"/>
    <n v="0.5"/>
    <n v="9500"/>
    <x v="13"/>
    <n v="1662.5"/>
    <n v="0.35"/>
  </r>
  <r>
    <x v="0"/>
    <x v="0"/>
    <x v="6"/>
    <x v="0"/>
    <s v="New York"/>
    <s v="New York"/>
    <x v="3"/>
    <n v="0.5"/>
    <n v="9000"/>
    <x v="6"/>
    <n v="1575"/>
    <n v="0.35"/>
  </r>
  <r>
    <x v="0"/>
    <x v="0"/>
    <x v="6"/>
    <x v="0"/>
    <s v="New York"/>
    <s v="New York"/>
    <x v="4"/>
    <n v="0.6"/>
    <n v="9250"/>
    <x v="25"/>
    <n v="1665"/>
    <n v="0.3"/>
  </r>
  <r>
    <x v="0"/>
    <x v="0"/>
    <x v="6"/>
    <x v="0"/>
    <s v="New York"/>
    <s v="New York"/>
    <x v="5"/>
    <n v="0.65"/>
    <n v="11000"/>
    <x v="26"/>
    <n v="1787.5"/>
    <n v="0.25"/>
  </r>
  <r>
    <x v="0"/>
    <x v="0"/>
    <x v="7"/>
    <x v="0"/>
    <s v="New York"/>
    <s v="New York"/>
    <x v="0"/>
    <n v="0.6"/>
    <n v="12500"/>
    <x v="20"/>
    <n v="3750"/>
    <n v="0.5"/>
  </r>
  <r>
    <x v="0"/>
    <x v="0"/>
    <x v="7"/>
    <x v="0"/>
    <s v="New York"/>
    <s v="New York"/>
    <x v="1"/>
    <n v="0.55000000000000004"/>
    <n v="10250"/>
    <x v="24"/>
    <n v="1691.2500000000002"/>
    <n v="0.3"/>
  </r>
  <r>
    <x v="0"/>
    <x v="0"/>
    <x v="7"/>
    <x v="0"/>
    <s v="New York"/>
    <s v="New York"/>
    <x v="2"/>
    <n v="0.5"/>
    <n v="9500"/>
    <x v="13"/>
    <n v="1662.5"/>
    <n v="0.35"/>
  </r>
  <r>
    <x v="0"/>
    <x v="0"/>
    <x v="7"/>
    <x v="0"/>
    <s v="New York"/>
    <s v="New York"/>
    <x v="3"/>
    <n v="0.5"/>
    <n v="9250"/>
    <x v="10"/>
    <n v="1618.75"/>
    <n v="0.35"/>
  </r>
  <r>
    <x v="0"/>
    <x v="0"/>
    <x v="7"/>
    <x v="0"/>
    <s v="New York"/>
    <s v="New York"/>
    <x v="4"/>
    <n v="0.6"/>
    <n v="9000"/>
    <x v="4"/>
    <n v="1620"/>
    <n v="0.3"/>
  </r>
  <r>
    <x v="0"/>
    <x v="0"/>
    <x v="7"/>
    <x v="0"/>
    <s v="New York"/>
    <s v="New York"/>
    <x v="5"/>
    <n v="0.65"/>
    <n v="10750"/>
    <x v="27"/>
    <n v="1746.875"/>
    <n v="0.25"/>
  </r>
  <r>
    <x v="0"/>
    <x v="0"/>
    <x v="8"/>
    <x v="0"/>
    <s v="New York"/>
    <s v="New York"/>
    <x v="0"/>
    <n v="0.6"/>
    <n v="12000"/>
    <x v="28"/>
    <n v="3600"/>
    <n v="0.5"/>
  </r>
  <r>
    <x v="0"/>
    <x v="0"/>
    <x v="8"/>
    <x v="0"/>
    <s v="New York"/>
    <s v="New York"/>
    <x v="1"/>
    <n v="0.55000000000000004"/>
    <n v="10000"/>
    <x v="21"/>
    <n v="1650"/>
    <n v="0.3"/>
  </r>
  <r>
    <x v="0"/>
    <x v="0"/>
    <x v="8"/>
    <x v="0"/>
    <s v="New York"/>
    <s v="New York"/>
    <x v="2"/>
    <n v="0.5"/>
    <n v="9250"/>
    <x v="10"/>
    <n v="1618.75"/>
    <n v="0.35"/>
  </r>
  <r>
    <x v="0"/>
    <x v="0"/>
    <x v="8"/>
    <x v="0"/>
    <s v="New York"/>
    <s v="New York"/>
    <x v="3"/>
    <n v="0.5"/>
    <n v="9000"/>
    <x v="6"/>
    <n v="1575"/>
    <n v="0.35"/>
  </r>
  <r>
    <x v="0"/>
    <x v="0"/>
    <x v="8"/>
    <x v="0"/>
    <s v="New York"/>
    <s v="New York"/>
    <x v="4"/>
    <n v="0.6"/>
    <n v="9000"/>
    <x v="4"/>
    <n v="1620"/>
    <n v="0.3"/>
  </r>
  <r>
    <x v="0"/>
    <x v="0"/>
    <x v="8"/>
    <x v="0"/>
    <s v="New York"/>
    <s v="New York"/>
    <x v="5"/>
    <n v="0.65"/>
    <n v="10000"/>
    <x v="19"/>
    <n v="1625"/>
    <n v="0.25"/>
  </r>
  <r>
    <x v="0"/>
    <x v="0"/>
    <x v="9"/>
    <x v="0"/>
    <s v="New York"/>
    <s v="New York"/>
    <x v="0"/>
    <n v="0.65"/>
    <n v="11750"/>
    <x v="29"/>
    <n v="3818.75"/>
    <n v="0.5"/>
  </r>
  <r>
    <x v="0"/>
    <x v="0"/>
    <x v="9"/>
    <x v="0"/>
    <s v="New York"/>
    <s v="New York"/>
    <x v="1"/>
    <n v="0.55000000000000004"/>
    <n v="10000"/>
    <x v="21"/>
    <n v="1650"/>
    <n v="0.3"/>
  </r>
  <r>
    <x v="0"/>
    <x v="0"/>
    <x v="9"/>
    <x v="0"/>
    <s v="New York"/>
    <s v="New York"/>
    <x v="2"/>
    <n v="0.55000000000000004"/>
    <n v="9000"/>
    <x v="14"/>
    <n v="1732.5"/>
    <n v="0.35"/>
  </r>
  <r>
    <x v="0"/>
    <x v="0"/>
    <x v="9"/>
    <x v="0"/>
    <s v="New York"/>
    <s v="New York"/>
    <x v="3"/>
    <n v="0.55000000000000004"/>
    <n v="8750"/>
    <x v="30"/>
    <n v="1684.375"/>
    <n v="0.35"/>
  </r>
  <r>
    <x v="0"/>
    <x v="0"/>
    <x v="9"/>
    <x v="0"/>
    <s v="New York"/>
    <s v="New York"/>
    <x v="4"/>
    <n v="0.65"/>
    <n v="8750"/>
    <x v="31"/>
    <n v="1706.25"/>
    <n v="0.3"/>
  </r>
  <r>
    <x v="0"/>
    <x v="0"/>
    <x v="9"/>
    <x v="0"/>
    <s v="New York"/>
    <s v="New York"/>
    <x v="5"/>
    <n v="0.7"/>
    <n v="10000"/>
    <x v="32"/>
    <n v="1750"/>
    <n v="0.25"/>
  </r>
  <r>
    <x v="0"/>
    <x v="0"/>
    <x v="10"/>
    <x v="0"/>
    <s v="New York"/>
    <s v="New York"/>
    <x v="0"/>
    <n v="0.65"/>
    <n v="11500"/>
    <x v="33"/>
    <n v="3737.5"/>
    <n v="0.5"/>
  </r>
  <r>
    <x v="0"/>
    <x v="0"/>
    <x v="10"/>
    <x v="0"/>
    <s v="New York"/>
    <s v="New York"/>
    <x v="1"/>
    <n v="0.55000000000000004"/>
    <n v="9750"/>
    <x v="34"/>
    <n v="1608.75"/>
    <n v="0.3"/>
  </r>
  <r>
    <x v="0"/>
    <x v="0"/>
    <x v="10"/>
    <x v="0"/>
    <s v="New York"/>
    <s v="New York"/>
    <x v="2"/>
    <n v="0.55000000000000004"/>
    <n v="9200"/>
    <x v="35"/>
    <n v="1771"/>
    <n v="0.35"/>
  </r>
  <r>
    <x v="0"/>
    <x v="0"/>
    <x v="10"/>
    <x v="0"/>
    <s v="New York"/>
    <s v="New York"/>
    <x v="3"/>
    <n v="0.55000000000000004"/>
    <n v="9000"/>
    <x v="14"/>
    <n v="1732.5"/>
    <n v="0.35"/>
  </r>
  <r>
    <x v="0"/>
    <x v="0"/>
    <x v="10"/>
    <x v="0"/>
    <s v="New York"/>
    <s v="New York"/>
    <x v="4"/>
    <n v="0.65"/>
    <n v="8750"/>
    <x v="31"/>
    <n v="1706.25"/>
    <n v="0.3"/>
  </r>
  <r>
    <x v="0"/>
    <x v="0"/>
    <x v="10"/>
    <x v="0"/>
    <s v="New York"/>
    <s v="New York"/>
    <x v="5"/>
    <n v="0.7"/>
    <n v="9750"/>
    <x v="22"/>
    <n v="1706.25"/>
    <n v="0.25"/>
  </r>
  <r>
    <x v="0"/>
    <x v="0"/>
    <x v="11"/>
    <x v="0"/>
    <s v="New York"/>
    <s v="New York"/>
    <x v="0"/>
    <n v="0.65"/>
    <n v="12000"/>
    <x v="36"/>
    <n v="3900"/>
    <n v="0.5"/>
  </r>
  <r>
    <x v="0"/>
    <x v="0"/>
    <x v="11"/>
    <x v="0"/>
    <s v="New York"/>
    <s v="New York"/>
    <x v="1"/>
    <n v="0.55000000000000004"/>
    <n v="10000"/>
    <x v="21"/>
    <n v="1650"/>
    <n v="0.3"/>
  </r>
  <r>
    <x v="0"/>
    <x v="0"/>
    <x v="11"/>
    <x v="0"/>
    <s v="New York"/>
    <s v="New York"/>
    <x v="2"/>
    <n v="0.55000000000000004"/>
    <n v="9500"/>
    <x v="37"/>
    <n v="1828.7499999999998"/>
    <n v="0.35"/>
  </r>
  <r>
    <x v="0"/>
    <x v="0"/>
    <x v="11"/>
    <x v="0"/>
    <s v="New York"/>
    <s v="New York"/>
    <x v="3"/>
    <n v="0.55000000000000004"/>
    <n v="9000"/>
    <x v="14"/>
    <n v="1732.5"/>
    <n v="0.35"/>
  </r>
  <r>
    <x v="0"/>
    <x v="0"/>
    <x v="11"/>
    <x v="0"/>
    <s v="New York"/>
    <s v="New York"/>
    <x v="4"/>
    <n v="0.65"/>
    <n v="9000"/>
    <x v="38"/>
    <n v="1755"/>
    <n v="0.3"/>
  </r>
  <r>
    <x v="0"/>
    <x v="0"/>
    <x v="11"/>
    <x v="0"/>
    <s v="New York"/>
    <s v="New York"/>
    <x v="5"/>
    <n v="0.7"/>
    <n v="10000"/>
    <x v="32"/>
    <n v="1750"/>
    <n v="0.25"/>
  </r>
  <r>
    <x v="1"/>
    <x v="1"/>
    <x v="12"/>
    <x v="1"/>
    <s v="Texas"/>
    <s v="Houston"/>
    <x v="0"/>
    <n v="0.25"/>
    <n v="9000"/>
    <x v="39"/>
    <n v="787.5"/>
    <n v="0.35"/>
  </r>
  <r>
    <x v="1"/>
    <x v="1"/>
    <x v="12"/>
    <x v="1"/>
    <s v="Texas"/>
    <s v="Houston"/>
    <x v="1"/>
    <n v="0.35"/>
    <n v="9000"/>
    <x v="40"/>
    <n v="1102.5"/>
    <n v="0.35"/>
  </r>
  <r>
    <x v="1"/>
    <x v="1"/>
    <x v="12"/>
    <x v="1"/>
    <s v="Texas"/>
    <s v="Houston"/>
    <x v="2"/>
    <n v="0.35"/>
    <n v="7000"/>
    <x v="41"/>
    <n v="857.5"/>
    <n v="0.35"/>
  </r>
  <r>
    <x v="1"/>
    <x v="1"/>
    <x v="12"/>
    <x v="1"/>
    <s v="Texas"/>
    <s v="Houston"/>
    <x v="3"/>
    <n v="0.35"/>
    <n v="7000"/>
    <x v="41"/>
    <n v="1102.5"/>
    <n v="0.45"/>
  </r>
  <r>
    <x v="1"/>
    <x v="1"/>
    <x v="12"/>
    <x v="1"/>
    <s v="Texas"/>
    <s v="Houston"/>
    <x v="4"/>
    <n v="0.4"/>
    <n v="5500"/>
    <x v="42"/>
    <n v="660"/>
    <n v="0.3"/>
  </r>
  <r>
    <x v="1"/>
    <x v="1"/>
    <x v="12"/>
    <x v="1"/>
    <s v="Texas"/>
    <s v="Houston"/>
    <x v="5"/>
    <n v="0.35"/>
    <n v="7000"/>
    <x v="41"/>
    <n v="1225"/>
    <n v="0.5"/>
  </r>
  <r>
    <x v="1"/>
    <x v="1"/>
    <x v="13"/>
    <x v="1"/>
    <s v="Texas"/>
    <s v="Houston"/>
    <x v="0"/>
    <n v="0.25"/>
    <n v="8500"/>
    <x v="43"/>
    <n v="743.75"/>
    <n v="0.35"/>
  </r>
  <r>
    <x v="1"/>
    <x v="1"/>
    <x v="13"/>
    <x v="1"/>
    <s v="Texas"/>
    <s v="Houston"/>
    <x v="1"/>
    <n v="0.35"/>
    <n v="8500"/>
    <x v="44"/>
    <n v="1041.25"/>
    <n v="0.35"/>
  </r>
  <r>
    <x v="1"/>
    <x v="1"/>
    <x v="13"/>
    <x v="1"/>
    <s v="Texas"/>
    <s v="Houston"/>
    <x v="2"/>
    <n v="0.35"/>
    <n v="6750"/>
    <x v="45"/>
    <n v="826.875"/>
    <n v="0.35"/>
  </r>
  <r>
    <x v="1"/>
    <x v="1"/>
    <x v="13"/>
    <x v="1"/>
    <s v="Texas"/>
    <s v="Houston"/>
    <x v="3"/>
    <n v="0.35"/>
    <n v="6250"/>
    <x v="46"/>
    <n v="984.375"/>
    <n v="0.45"/>
  </r>
  <r>
    <x v="1"/>
    <x v="1"/>
    <x v="13"/>
    <x v="1"/>
    <s v="Texas"/>
    <s v="Houston"/>
    <x v="4"/>
    <n v="0.4"/>
    <n v="5000"/>
    <x v="47"/>
    <n v="600"/>
    <n v="0.3"/>
  </r>
  <r>
    <x v="1"/>
    <x v="1"/>
    <x v="13"/>
    <x v="1"/>
    <s v="Texas"/>
    <s v="Houston"/>
    <x v="5"/>
    <n v="0.35"/>
    <n v="7000"/>
    <x v="41"/>
    <n v="1225"/>
    <n v="0.5"/>
  </r>
  <r>
    <x v="1"/>
    <x v="1"/>
    <x v="14"/>
    <x v="1"/>
    <s v="Texas"/>
    <s v="Houston"/>
    <x v="0"/>
    <n v="0.3"/>
    <n v="8750"/>
    <x v="48"/>
    <n v="918.74999999999989"/>
    <n v="0.35"/>
  </r>
  <r>
    <x v="1"/>
    <x v="1"/>
    <x v="14"/>
    <x v="1"/>
    <s v="Texas"/>
    <s v="Houston"/>
    <x v="1"/>
    <n v="0.4"/>
    <n v="8750"/>
    <x v="49"/>
    <n v="1225"/>
    <n v="0.35"/>
  </r>
  <r>
    <x v="1"/>
    <x v="1"/>
    <x v="14"/>
    <x v="1"/>
    <s v="Texas"/>
    <s v="Houston"/>
    <x v="2"/>
    <n v="0.35"/>
    <n v="7000"/>
    <x v="41"/>
    <n v="857.5"/>
    <n v="0.35"/>
  </r>
  <r>
    <x v="1"/>
    <x v="1"/>
    <x v="14"/>
    <x v="1"/>
    <s v="Texas"/>
    <s v="Houston"/>
    <x v="3"/>
    <n v="0.4"/>
    <n v="6000"/>
    <x v="50"/>
    <n v="1080"/>
    <n v="0.45"/>
  </r>
  <r>
    <x v="1"/>
    <x v="1"/>
    <x v="14"/>
    <x v="1"/>
    <s v="Texas"/>
    <s v="Houston"/>
    <x v="4"/>
    <n v="0.45"/>
    <n v="5000"/>
    <x v="39"/>
    <n v="675"/>
    <n v="0.3"/>
  </r>
  <r>
    <x v="1"/>
    <x v="1"/>
    <x v="14"/>
    <x v="1"/>
    <s v="Texas"/>
    <s v="Houston"/>
    <x v="5"/>
    <n v="0.4"/>
    <n v="6500"/>
    <x v="51"/>
    <n v="1300"/>
    <n v="0.5"/>
  </r>
  <r>
    <x v="1"/>
    <x v="1"/>
    <x v="15"/>
    <x v="1"/>
    <s v="Texas"/>
    <s v="Houston"/>
    <x v="0"/>
    <n v="0.3"/>
    <n v="9000"/>
    <x v="52"/>
    <n v="944.99999999999989"/>
    <n v="0.35"/>
  </r>
  <r>
    <x v="1"/>
    <x v="1"/>
    <x v="15"/>
    <x v="1"/>
    <s v="Texas"/>
    <s v="Houston"/>
    <x v="1"/>
    <n v="0.4"/>
    <n v="9000"/>
    <x v="11"/>
    <n v="1260"/>
    <n v="0.35"/>
  </r>
  <r>
    <x v="1"/>
    <x v="1"/>
    <x v="15"/>
    <x v="1"/>
    <s v="Texas"/>
    <s v="Houston"/>
    <x v="2"/>
    <n v="0.35"/>
    <n v="7250"/>
    <x v="53"/>
    <n v="888.125"/>
    <n v="0.35"/>
  </r>
  <r>
    <x v="1"/>
    <x v="1"/>
    <x v="15"/>
    <x v="1"/>
    <s v="Texas"/>
    <s v="Houston"/>
    <x v="3"/>
    <n v="0.4"/>
    <n v="6250"/>
    <x v="54"/>
    <n v="1125"/>
    <n v="0.45"/>
  </r>
  <r>
    <x v="1"/>
    <x v="1"/>
    <x v="15"/>
    <x v="1"/>
    <s v="Texas"/>
    <s v="Houston"/>
    <x v="4"/>
    <n v="0.45"/>
    <n v="5250"/>
    <x v="45"/>
    <n v="708.75"/>
    <n v="0.3"/>
  </r>
  <r>
    <x v="1"/>
    <x v="1"/>
    <x v="15"/>
    <x v="1"/>
    <s v="Texas"/>
    <s v="Houston"/>
    <x v="5"/>
    <n v="0.4"/>
    <n v="8000"/>
    <x v="55"/>
    <n v="1600"/>
    <n v="0.5"/>
  </r>
  <r>
    <x v="1"/>
    <x v="1"/>
    <x v="16"/>
    <x v="1"/>
    <s v="Texas"/>
    <s v="Houston"/>
    <x v="0"/>
    <n v="0.3"/>
    <n v="9250"/>
    <x v="56"/>
    <n v="971.24999999999989"/>
    <n v="0.35"/>
  </r>
  <r>
    <x v="1"/>
    <x v="1"/>
    <x v="16"/>
    <x v="1"/>
    <s v="Texas"/>
    <s v="Houston"/>
    <x v="1"/>
    <n v="0.4"/>
    <n v="9250"/>
    <x v="57"/>
    <n v="1295"/>
    <n v="0.35"/>
  </r>
  <r>
    <x v="1"/>
    <x v="1"/>
    <x v="16"/>
    <x v="1"/>
    <s v="Texas"/>
    <s v="Houston"/>
    <x v="2"/>
    <n v="0.35"/>
    <n v="7750"/>
    <x v="58"/>
    <n v="949.37499999999989"/>
    <n v="0.35"/>
  </r>
  <r>
    <x v="1"/>
    <x v="1"/>
    <x v="16"/>
    <x v="1"/>
    <s v="Texas"/>
    <s v="Houston"/>
    <x v="3"/>
    <n v="0.4"/>
    <n v="7000"/>
    <x v="59"/>
    <n v="1260"/>
    <n v="0.45"/>
  </r>
  <r>
    <x v="1"/>
    <x v="1"/>
    <x v="16"/>
    <x v="1"/>
    <s v="Texas"/>
    <s v="Houston"/>
    <x v="4"/>
    <n v="0.45"/>
    <n v="6000"/>
    <x v="52"/>
    <n v="810"/>
    <n v="0.3"/>
  </r>
  <r>
    <x v="1"/>
    <x v="1"/>
    <x v="16"/>
    <x v="1"/>
    <s v="Texas"/>
    <s v="Houston"/>
    <x v="5"/>
    <n v="0.4"/>
    <n v="9500"/>
    <x v="7"/>
    <n v="1900"/>
    <n v="0.5"/>
  </r>
  <r>
    <x v="1"/>
    <x v="1"/>
    <x v="17"/>
    <x v="1"/>
    <s v="Texas"/>
    <s v="Houston"/>
    <x v="0"/>
    <n v="0.4"/>
    <n v="9500"/>
    <x v="7"/>
    <n v="1330"/>
    <n v="0.35"/>
  </r>
  <r>
    <x v="1"/>
    <x v="1"/>
    <x v="17"/>
    <x v="1"/>
    <s v="Texas"/>
    <s v="Houston"/>
    <x v="1"/>
    <n v="0.45"/>
    <n v="9500"/>
    <x v="60"/>
    <n v="1496.25"/>
    <n v="0.35"/>
  </r>
  <r>
    <x v="1"/>
    <x v="1"/>
    <x v="17"/>
    <x v="1"/>
    <s v="Texas"/>
    <s v="Houston"/>
    <x v="2"/>
    <n v="0.4"/>
    <n v="8000"/>
    <x v="55"/>
    <n v="1120"/>
    <n v="0.35"/>
  </r>
  <r>
    <x v="1"/>
    <x v="1"/>
    <x v="17"/>
    <x v="1"/>
    <s v="Texas"/>
    <s v="Houston"/>
    <x v="3"/>
    <n v="0.4"/>
    <n v="7500"/>
    <x v="61"/>
    <n v="1350"/>
    <n v="0.45"/>
  </r>
  <r>
    <x v="1"/>
    <x v="1"/>
    <x v="17"/>
    <x v="1"/>
    <s v="Texas"/>
    <s v="Houston"/>
    <x v="4"/>
    <n v="0.45"/>
    <n v="6500"/>
    <x v="62"/>
    <n v="877.5"/>
    <n v="0.3"/>
  </r>
  <r>
    <x v="1"/>
    <x v="1"/>
    <x v="17"/>
    <x v="1"/>
    <s v="Texas"/>
    <s v="Houston"/>
    <x v="5"/>
    <n v="0.5"/>
    <n v="10000"/>
    <x v="1"/>
    <n v="2500"/>
    <n v="0.5"/>
  </r>
  <r>
    <x v="1"/>
    <x v="1"/>
    <x v="18"/>
    <x v="1"/>
    <s v="Texas"/>
    <s v="Houston"/>
    <x v="0"/>
    <n v="0.4"/>
    <n v="9500"/>
    <x v="7"/>
    <n v="1330"/>
    <n v="0.35"/>
  </r>
  <r>
    <x v="1"/>
    <x v="1"/>
    <x v="18"/>
    <x v="1"/>
    <s v="Texas"/>
    <s v="Houston"/>
    <x v="1"/>
    <n v="0.45"/>
    <n v="9500"/>
    <x v="60"/>
    <n v="1496.25"/>
    <n v="0.35"/>
  </r>
  <r>
    <x v="1"/>
    <x v="1"/>
    <x v="18"/>
    <x v="1"/>
    <s v="Texas"/>
    <s v="Houston"/>
    <x v="2"/>
    <n v="0.4"/>
    <n v="11000"/>
    <x v="63"/>
    <n v="1540"/>
    <n v="0.35"/>
  </r>
  <r>
    <x v="1"/>
    <x v="1"/>
    <x v="18"/>
    <x v="1"/>
    <s v="Texas"/>
    <s v="Houston"/>
    <x v="3"/>
    <n v="0.4"/>
    <n v="7000"/>
    <x v="59"/>
    <n v="1260"/>
    <n v="0.45"/>
  </r>
  <r>
    <x v="1"/>
    <x v="1"/>
    <x v="18"/>
    <x v="1"/>
    <s v="Texas"/>
    <s v="Houston"/>
    <x v="4"/>
    <n v="0.45"/>
    <n v="7000"/>
    <x v="40"/>
    <n v="945"/>
    <n v="0.3"/>
  </r>
  <r>
    <x v="1"/>
    <x v="1"/>
    <x v="18"/>
    <x v="1"/>
    <s v="Texas"/>
    <s v="Houston"/>
    <x v="5"/>
    <n v="0.5"/>
    <n v="9750"/>
    <x v="64"/>
    <n v="2437.5"/>
    <n v="0.5"/>
  </r>
  <r>
    <x v="1"/>
    <x v="1"/>
    <x v="19"/>
    <x v="1"/>
    <s v="Texas"/>
    <s v="Houston"/>
    <x v="0"/>
    <n v="0.4"/>
    <n v="9250"/>
    <x v="57"/>
    <n v="1295"/>
    <n v="0.35"/>
  </r>
  <r>
    <x v="1"/>
    <x v="1"/>
    <x v="19"/>
    <x v="1"/>
    <s v="Texas"/>
    <s v="Houston"/>
    <x v="1"/>
    <n v="0.45"/>
    <n v="9250"/>
    <x v="65"/>
    <n v="1456.875"/>
    <n v="0.35"/>
  </r>
  <r>
    <x v="1"/>
    <x v="1"/>
    <x v="19"/>
    <x v="1"/>
    <s v="Texas"/>
    <s v="Houston"/>
    <x v="2"/>
    <n v="0.4"/>
    <n v="11000"/>
    <x v="63"/>
    <n v="1540"/>
    <n v="0.35"/>
  </r>
  <r>
    <x v="1"/>
    <x v="1"/>
    <x v="19"/>
    <x v="1"/>
    <s v="Texas"/>
    <s v="Houston"/>
    <x v="3"/>
    <n v="0.4"/>
    <n v="6500"/>
    <x v="51"/>
    <n v="1170"/>
    <n v="0.45"/>
  </r>
  <r>
    <x v="1"/>
    <x v="1"/>
    <x v="19"/>
    <x v="1"/>
    <s v="Texas"/>
    <s v="Houston"/>
    <x v="4"/>
    <n v="0.45"/>
    <n v="6500"/>
    <x v="62"/>
    <n v="877.5"/>
    <n v="0.3"/>
  </r>
  <r>
    <x v="1"/>
    <x v="1"/>
    <x v="19"/>
    <x v="1"/>
    <s v="Texas"/>
    <s v="Houston"/>
    <x v="5"/>
    <n v="0.5"/>
    <n v="9000"/>
    <x v="6"/>
    <n v="2250"/>
    <n v="0.5"/>
  </r>
  <r>
    <x v="1"/>
    <x v="1"/>
    <x v="20"/>
    <x v="1"/>
    <s v="Texas"/>
    <s v="Houston"/>
    <x v="0"/>
    <n v="0.45"/>
    <n v="8500"/>
    <x v="3"/>
    <n v="1338.75"/>
    <n v="0.35"/>
  </r>
  <r>
    <x v="1"/>
    <x v="1"/>
    <x v="20"/>
    <x v="1"/>
    <s v="Texas"/>
    <s v="Houston"/>
    <x v="1"/>
    <n v="0.45"/>
    <n v="8500"/>
    <x v="3"/>
    <n v="1338.75"/>
    <n v="0.35"/>
  </r>
  <r>
    <x v="1"/>
    <x v="1"/>
    <x v="20"/>
    <x v="1"/>
    <s v="Texas"/>
    <s v="Houston"/>
    <x v="2"/>
    <n v="0.5"/>
    <n v="9000"/>
    <x v="6"/>
    <n v="1575"/>
    <n v="0.35"/>
  </r>
  <r>
    <x v="1"/>
    <x v="1"/>
    <x v="20"/>
    <x v="1"/>
    <s v="Texas"/>
    <s v="Houston"/>
    <x v="3"/>
    <n v="0.5"/>
    <n v="6250"/>
    <x v="66"/>
    <n v="1406.25"/>
    <n v="0.45"/>
  </r>
  <r>
    <x v="1"/>
    <x v="1"/>
    <x v="20"/>
    <x v="1"/>
    <s v="Texas"/>
    <s v="Houston"/>
    <x v="4"/>
    <n v="0.45"/>
    <n v="6250"/>
    <x v="67"/>
    <n v="843.75"/>
    <n v="0.3"/>
  </r>
  <r>
    <x v="1"/>
    <x v="1"/>
    <x v="20"/>
    <x v="1"/>
    <s v="Texas"/>
    <s v="Houston"/>
    <x v="5"/>
    <n v="0.55000000000000004"/>
    <n v="8500"/>
    <x v="68"/>
    <n v="2337.5"/>
    <n v="0.5"/>
  </r>
  <r>
    <x v="1"/>
    <x v="1"/>
    <x v="21"/>
    <x v="1"/>
    <s v="Texas"/>
    <s v="Houston"/>
    <x v="0"/>
    <n v="0.45"/>
    <n v="8000"/>
    <x v="11"/>
    <n v="1260"/>
    <n v="0.35"/>
  </r>
  <r>
    <x v="1"/>
    <x v="1"/>
    <x v="21"/>
    <x v="1"/>
    <s v="Texas"/>
    <s v="Houston"/>
    <x v="1"/>
    <n v="0.45"/>
    <n v="8000"/>
    <x v="11"/>
    <n v="1260"/>
    <n v="0.35"/>
  </r>
  <r>
    <x v="1"/>
    <x v="1"/>
    <x v="21"/>
    <x v="1"/>
    <s v="Texas"/>
    <s v="Houston"/>
    <x v="2"/>
    <n v="0.5"/>
    <n v="7500"/>
    <x v="69"/>
    <n v="1312.5"/>
    <n v="0.35"/>
  </r>
  <r>
    <x v="1"/>
    <x v="1"/>
    <x v="21"/>
    <x v="1"/>
    <s v="Texas"/>
    <s v="Houston"/>
    <x v="3"/>
    <n v="0.5"/>
    <n v="6000"/>
    <x v="61"/>
    <n v="1350"/>
    <n v="0.45"/>
  </r>
  <r>
    <x v="1"/>
    <x v="1"/>
    <x v="21"/>
    <x v="1"/>
    <s v="Texas"/>
    <s v="Houston"/>
    <x v="4"/>
    <n v="0.45"/>
    <n v="5750"/>
    <x v="70"/>
    <n v="776.25"/>
    <n v="0.3"/>
  </r>
  <r>
    <x v="1"/>
    <x v="1"/>
    <x v="21"/>
    <x v="1"/>
    <s v="Texas"/>
    <s v="Houston"/>
    <x v="5"/>
    <n v="0.55000000000000004"/>
    <n v="7500"/>
    <x v="71"/>
    <n v="2062.5"/>
    <n v="0.5"/>
  </r>
  <r>
    <x v="1"/>
    <x v="1"/>
    <x v="22"/>
    <x v="1"/>
    <s v="Texas"/>
    <s v="Houston"/>
    <x v="0"/>
    <n v="0.45"/>
    <n v="9000"/>
    <x v="72"/>
    <n v="1417.5"/>
    <n v="0.35"/>
  </r>
  <r>
    <x v="1"/>
    <x v="1"/>
    <x v="22"/>
    <x v="1"/>
    <s v="Texas"/>
    <s v="Houston"/>
    <x v="1"/>
    <n v="0.45"/>
    <n v="9000"/>
    <x v="72"/>
    <n v="1417.5"/>
    <n v="0.35"/>
  </r>
  <r>
    <x v="1"/>
    <x v="1"/>
    <x v="22"/>
    <x v="1"/>
    <s v="Texas"/>
    <s v="Houston"/>
    <x v="2"/>
    <n v="0.5"/>
    <n v="8250"/>
    <x v="71"/>
    <n v="1443.75"/>
    <n v="0.35"/>
  </r>
  <r>
    <x v="1"/>
    <x v="1"/>
    <x v="22"/>
    <x v="1"/>
    <s v="Texas"/>
    <s v="Houston"/>
    <x v="3"/>
    <n v="0.5"/>
    <n v="6750"/>
    <x v="73"/>
    <n v="1518.75"/>
    <n v="0.45"/>
  </r>
  <r>
    <x v="1"/>
    <x v="1"/>
    <x v="22"/>
    <x v="1"/>
    <s v="Texas"/>
    <s v="Houston"/>
    <x v="4"/>
    <n v="0.45"/>
    <n v="6500"/>
    <x v="62"/>
    <n v="877.5"/>
    <n v="0.3"/>
  </r>
  <r>
    <x v="1"/>
    <x v="1"/>
    <x v="22"/>
    <x v="1"/>
    <s v="Texas"/>
    <s v="Houston"/>
    <x v="5"/>
    <n v="0.55000000000000004"/>
    <n v="8500"/>
    <x v="68"/>
    <n v="2337.5"/>
    <n v="0.5"/>
  </r>
  <r>
    <x v="1"/>
    <x v="1"/>
    <x v="23"/>
    <x v="1"/>
    <s v="Texas"/>
    <s v="Houston"/>
    <x v="0"/>
    <n v="0.45"/>
    <n v="9500"/>
    <x v="60"/>
    <n v="1496.25"/>
    <n v="0.35"/>
  </r>
  <r>
    <x v="1"/>
    <x v="1"/>
    <x v="23"/>
    <x v="1"/>
    <s v="Texas"/>
    <s v="Houston"/>
    <x v="1"/>
    <n v="0.45"/>
    <n v="9500"/>
    <x v="60"/>
    <n v="1496.25"/>
    <n v="0.35"/>
  </r>
  <r>
    <x v="1"/>
    <x v="1"/>
    <x v="23"/>
    <x v="1"/>
    <s v="Texas"/>
    <s v="Houston"/>
    <x v="2"/>
    <n v="0.5"/>
    <n v="8500"/>
    <x v="17"/>
    <n v="1487.5"/>
    <n v="0.35"/>
  </r>
  <r>
    <x v="1"/>
    <x v="1"/>
    <x v="23"/>
    <x v="1"/>
    <s v="Texas"/>
    <s v="Houston"/>
    <x v="3"/>
    <n v="0.5"/>
    <n v="7000"/>
    <x v="49"/>
    <n v="1575"/>
    <n v="0.45"/>
  </r>
  <r>
    <x v="1"/>
    <x v="1"/>
    <x v="23"/>
    <x v="1"/>
    <s v="Texas"/>
    <s v="Houston"/>
    <x v="4"/>
    <n v="0.45"/>
    <n v="6500"/>
    <x v="62"/>
    <n v="877.5"/>
    <n v="0.3"/>
  </r>
  <r>
    <x v="1"/>
    <x v="1"/>
    <x v="23"/>
    <x v="1"/>
    <s v="Texas"/>
    <s v="Houston"/>
    <x v="5"/>
    <n v="0.55000000000000004"/>
    <n v="9000"/>
    <x v="14"/>
    <n v="2475"/>
    <n v="0.5"/>
  </r>
  <r>
    <x v="2"/>
    <x v="2"/>
    <x v="24"/>
    <x v="2"/>
    <s v="California"/>
    <s v="San Francisco"/>
    <x v="0"/>
    <n v="0.39999999999999997"/>
    <n v="7750"/>
    <x v="74"/>
    <n v="1085"/>
    <n v="0.35000000000000003"/>
  </r>
  <r>
    <x v="2"/>
    <x v="2"/>
    <x v="24"/>
    <x v="2"/>
    <s v="California"/>
    <s v="San Francisco"/>
    <x v="1"/>
    <n v="0.5"/>
    <n v="7750"/>
    <x v="75"/>
    <n v="775"/>
    <n v="0.2"/>
  </r>
  <r>
    <x v="2"/>
    <x v="2"/>
    <x v="24"/>
    <x v="2"/>
    <s v="California"/>
    <s v="San Francisco"/>
    <x v="2"/>
    <n v="0.5"/>
    <n v="7750"/>
    <x v="75"/>
    <n v="1356.2500000000002"/>
    <n v="0.35000000000000003"/>
  </r>
  <r>
    <x v="2"/>
    <x v="2"/>
    <x v="24"/>
    <x v="2"/>
    <s v="California"/>
    <s v="San Francisco"/>
    <x v="3"/>
    <n v="0.5"/>
    <n v="6250"/>
    <x v="66"/>
    <n v="937.5"/>
    <n v="0.3"/>
  </r>
  <r>
    <x v="2"/>
    <x v="2"/>
    <x v="24"/>
    <x v="2"/>
    <s v="California"/>
    <s v="San Francisco"/>
    <x v="4"/>
    <n v="0.55000000000000004"/>
    <n v="5750"/>
    <x v="76"/>
    <n v="1581.2500000000002"/>
    <n v="0.5"/>
  </r>
  <r>
    <x v="2"/>
    <x v="2"/>
    <x v="24"/>
    <x v="2"/>
    <s v="California"/>
    <s v="San Francisco"/>
    <x v="5"/>
    <n v="0.5"/>
    <n v="7750"/>
    <x v="75"/>
    <n v="581.25000000000011"/>
    <n v="0.15000000000000002"/>
  </r>
  <r>
    <x v="2"/>
    <x v="2"/>
    <x v="25"/>
    <x v="2"/>
    <s v="California"/>
    <s v="San Francisco"/>
    <x v="0"/>
    <n v="0.39999999999999997"/>
    <n v="8250"/>
    <x v="77"/>
    <n v="1155"/>
    <n v="0.35000000000000003"/>
  </r>
  <r>
    <x v="2"/>
    <x v="2"/>
    <x v="25"/>
    <x v="2"/>
    <s v="California"/>
    <s v="San Francisco"/>
    <x v="1"/>
    <n v="0.5"/>
    <n v="7250"/>
    <x v="78"/>
    <n v="725"/>
    <n v="0.2"/>
  </r>
  <r>
    <x v="2"/>
    <x v="2"/>
    <x v="25"/>
    <x v="2"/>
    <s v="California"/>
    <s v="San Francisco"/>
    <x v="2"/>
    <n v="0.5"/>
    <n v="7250"/>
    <x v="78"/>
    <n v="1268.7500000000002"/>
    <n v="0.35000000000000003"/>
  </r>
  <r>
    <x v="2"/>
    <x v="2"/>
    <x v="25"/>
    <x v="2"/>
    <s v="California"/>
    <s v="San Francisco"/>
    <x v="3"/>
    <n v="0.5"/>
    <n v="5750"/>
    <x v="79"/>
    <n v="862.5"/>
    <n v="0.3"/>
  </r>
  <r>
    <x v="2"/>
    <x v="2"/>
    <x v="25"/>
    <x v="2"/>
    <s v="California"/>
    <s v="San Francisco"/>
    <x v="4"/>
    <n v="0.55000000000000004"/>
    <n v="5000"/>
    <x v="80"/>
    <n v="1375"/>
    <n v="0.5"/>
  </r>
  <r>
    <x v="2"/>
    <x v="2"/>
    <x v="25"/>
    <x v="2"/>
    <s v="California"/>
    <s v="San Francisco"/>
    <x v="5"/>
    <n v="0.5"/>
    <n v="7000"/>
    <x v="49"/>
    <n v="525.00000000000011"/>
    <n v="0.15000000000000002"/>
  </r>
  <r>
    <x v="2"/>
    <x v="2"/>
    <x v="26"/>
    <x v="2"/>
    <s v="California"/>
    <s v="San Francisco"/>
    <x v="0"/>
    <n v="0.5"/>
    <n v="8500"/>
    <x v="17"/>
    <n v="1487.5000000000002"/>
    <n v="0.35000000000000003"/>
  </r>
  <r>
    <x v="2"/>
    <x v="2"/>
    <x v="26"/>
    <x v="2"/>
    <s v="California"/>
    <s v="San Francisco"/>
    <x v="1"/>
    <n v="0.6"/>
    <n v="7000"/>
    <x v="81"/>
    <n v="840"/>
    <n v="0.2"/>
  </r>
  <r>
    <x v="2"/>
    <x v="2"/>
    <x v="26"/>
    <x v="2"/>
    <s v="California"/>
    <s v="San Francisco"/>
    <x v="2"/>
    <n v="0.6"/>
    <n v="7000"/>
    <x v="81"/>
    <n v="1470.0000000000002"/>
    <n v="0.35000000000000003"/>
  </r>
  <r>
    <x v="2"/>
    <x v="2"/>
    <x v="26"/>
    <x v="2"/>
    <s v="California"/>
    <s v="San Francisco"/>
    <x v="3"/>
    <n v="0.6"/>
    <n v="6000"/>
    <x v="11"/>
    <n v="1080"/>
    <n v="0.3"/>
  </r>
  <r>
    <x v="2"/>
    <x v="2"/>
    <x v="26"/>
    <x v="2"/>
    <s v="California"/>
    <s v="San Francisco"/>
    <x v="4"/>
    <n v="0.65"/>
    <n v="5000"/>
    <x v="82"/>
    <n v="1625"/>
    <n v="0.5"/>
  </r>
  <r>
    <x v="2"/>
    <x v="2"/>
    <x v="26"/>
    <x v="2"/>
    <s v="California"/>
    <s v="San Francisco"/>
    <x v="5"/>
    <n v="0.6"/>
    <n v="7000"/>
    <x v="81"/>
    <n v="630.00000000000011"/>
    <n v="0.15000000000000002"/>
  </r>
  <r>
    <x v="2"/>
    <x v="2"/>
    <x v="27"/>
    <x v="2"/>
    <s v="California"/>
    <s v="San Francisco"/>
    <x v="0"/>
    <n v="0.6"/>
    <n v="8750"/>
    <x v="18"/>
    <n v="1837.5000000000002"/>
    <n v="0.35000000000000003"/>
  </r>
  <r>
    <x v="2"/>
    <x v="2"/>
    <x v="27"/>
    <x v="2"/>
    <s v="California"/>
    <s v="San Francisco"/>
    <x v="1"/>
    <n v="0.65"/>
    <n v="6750"/>
    <x v="83"/>
    <n v="877.5"/>
    <n v="0.2"/>
  </r>
  <r>
    <x v="2"/>
    <x v="2"/>
    <x v="27"/>
    <x v="2"/>
    <s v="California"/>
    <s v="San Francisco"/>
    <x v="2"/>
    <n v="0.65"/>
    <n v="7250"/>
    <x v="84"/>
    <n v="1649.3750000000002"/>
    <n v="0.35000000000000003"/>
  </r>
  <r>
    <x v="2"/>
    <x v="2"/>
    <x v="27"/>
    <x v="2"/>
    <s v="California"/>
    <s v="San Francisco"/>
    <x v="3"/>
    <n v="0.6"/>
    <n v="6250"/>
    <x v="69"/>
    <n v="1125"/>
    <n v="0.3"/>
  </r>
  <r>
    <x v="2"/>
    <x v="2"/>
    <x v="27"/>
    <x v="2"/>
    <s v="California"/>
    <s v="San Francisco"/>
    <x v="4"/>
    <n v="0.65"/>
    <n v="5250"/>
    <x v="85"/>
    <n v="1706.25"/>
    <n v="0.5"/>
  </r>
  <r>
    <x v="2"/>
    <x v="2"/>
    <x v="27"/>
    <x v="2"/>
    <s v="California"/>
    <s v="San Francisco"/>
    <x v="5"/>
    <n v="0.8"/>
    <n v="7000"/>
    <x v="86"/>
    <n v="840.00000000000011"/>
    <n v="0.15000000000000002"/>
  </r>
  <r>
    <x v="2"/>
    <x v="2"/>
    <x v="28"/>
    <x v="2"/>
    <s v="California"/>
    <s v="San Francisco"/>
    <x v="0"/>
    <n v="0.6"/>
    <n v="9000"/>
    <x v="4"/>
    <n v="2160"/>
    <n v="0.4"/>
  </r>
  <r>
    <x v="2"/>
    <x v="2"/>
    <x v="28"/>
    <x v="2"/>
    <s v="California"/>
    <s v="San Francisco"/>
    <x v="1"/>
    <n v="0.65"/>
    <n v="7500"/>
    <x v="64"/>
    <n v="1218.75"/>
    <n v="0.25"/>
  </r>
  <r>
    <x v="2"/>
    <x v="2"/>
    <x v="28"/>
    <x v="2"/>
    <s v="California"/>
    <s v="San Francisco"/>
    <x v="2"/>
    <n v="0.65"/>
    <n v="7500"/>
    <x v="64"/>
    <n v="1950"/>
    <n v="0.4"/>
  </r>
  <r>
    <x v="2"/>
    <x v="2"/>
    <x v="28"/>
    <x v="2"/>
    <s v="California"/>
    <s v="San Francisco"/>
    <x v="3"/>
    <n v="0.6"/>
    <n v="6500"/>
    <x v="87"/>
    <n v="1365"/>
    <n v="0.35"/>
  </r>
  <r>
    <x v="2"/>
    <x v="2"/>
    <x v="28"/>
    <x v="2"/>
    <s v="California"/>
    <s v="San Francisco"/>
    <x v="4"/>
    <n v="0.65"/>
    <n v="5500"/>
    <x v="88"/>
    <n v="1966.2500000000002"/>
    <n v="0.55000000000000004"/>
  </r>
  <r>
    <x v="2"/>
    <x v="2"/>
    <x v="28"/>
    <x v="2"/>
    <s v="California"/>
    <s v="San Francisco"/>
    <x v="5"/>
    <n v="0.8"/>
    <n v="7250"/>
    <x v="89"/>
    <n v="1160"/>
    <n v="0.2"/>
  </r>
  <r>
    <x v="2"/>
    <x v="2"/>
    <x v="29"/>
    <x v="2"/>
    <s v="California"/>
    <s v="San Francisco"/>
    <x v="0"/>
    <n v="0.6"/>
    <n v="9750"/>
    <x v="38"/>
    <n v="2340"/>
    <n v="0.4"/>
  </r>
  <r>
    <x v="2"/>
    <x v="2"/>
    <x v="29"/>
    <x v="2"/>
    <s v="California"/>
    <s v="San Francisco"/>
    <x v="1"/>
    <n v="0.65"/>
    <n v="8250"/>
    <x v="34"/>
    <n v="1340.625"/>
    <n v="0.25"/>
  </r>
  <r>
    <x v="2"/>
    <x v="2"/>
    <x v="29"/>
    <x v="2"/>
    <s v="California"/>
    <s v="San Francisco"/>
    <x v="2"/>
    <n v="0.65"/>
    <n v="8250"/>
    <x v="34"/>
    <n v="2145"/>
    <n v="0.4"/>
  </r>
  <r>
    <x v="2"/>
    <x v="2"/>
    <x v="29"/>
    <x v="2"/>
    <s v="California"/>
    <s v="San Francisco"/>
    <x v="3"/>
    <n v="0.6"/>
    <n v="7000"/>
    <x v="81"/>
    <n v="1470"/>
    <n v="0.35"/>
  </r>
  <r>
    <x v="2"/>
    <x v="2"/>
    <x v="29"/>
    <x v="2"/>
    <s v="California"/>
    <s v="San Francisco"/>
    <x v="4"/>
    <n v="0.65"/>
    <n v="5750"/>
    <x v="90"/>
    <n v="2055.625"/>
    <n v="0.55000000000000004"/>
  </r>
  <r>
    <x v="2"/>
    <x v="2"/>
    <x v="29"/>
    <x v="2"/>
    <s v="California"/>
    <s v="San Francisco"/>
    <x v="5"/>
    <n v="0.8"/>
    <n v="8750"/>
    <x v="32"/>
    <n v="1400"/>
    <n v="0.2"/>
  </r>
  <r>
    <x v="2"/>
    <x v="2"/>
    <x v="30"/>
    <x v="2"/>
    <s v="California"/>
    <s v="San Francisco"/>
    <x v="0"/>
    <n v="0.6"/>
    <n v="10250"/>
    <x v="91"/>
    <n v="2152.5"/>
    <n v="0.35000000000000003"/>
  </r>
  <r>
    <x v="2"/>
    <x v="2"/>
    <x v="30"/>
    <x v="2"/>
    <s v="California"/>
    <s v="San Francisco"/>
    <x v="1"/>
    <n v="0.65"/>
    <n v="8750"/>
    <x v="31"/>
    <n v="1137.5"/>
    <n v="0.2"/>
  </r>
  <r>
    <x v="2"/>
    <x v="2"/>
    <x v="30"/>
    <x v="2"/>
    <s v="California"/>
    <s v="San Francisco"/>
    <x v="2"/>
    <n v="0.65"/>
    <n v="8250"/>
    <x v="34"/>
    <n v="1876.8750000000002"/>
    <n v="0.35000000000000003"/>
  </r>
  <r>
    <x v="2"/>
    <x v="2"/>
    <x v="30"/>
    <x v="2"/>
    <s v="California"/>
    <s v="San Francisco"/>
    <x v="3"/>
    <n v="0.6"/>
    <n v="7250"/>
    <x v="92"/>
    <n v="1305"/>
    <n v="0.3"/>
  </r>
  <r>
    <x v="2"/>
    <x v="2"/>
    <x v="30"/>
    <x v="2"/>
    <s v="California"/>
    <s v="San Francisco"/>
    <x v="4"/>
    <n v="0.65"/>
    <n v="7750"/>
    <x v="93"/>
    <n v="2518.75"/>
    <n v="0.5"/>
  </r>
  <r>
    <x v="2"/>
    <x v="2"/>
    <x v="30"/>
    <x v="2"/>
    <s v="California"/>
    <s v="San Francisco"/>
    <x v="5"/>
    <n v="0.8"/>
    <n v="7750"/>
    <x v="94"/>
    <n v="930.00000000000011"/>
    <n v="0.15000000000000002"/>
  </r>
  <r>
    <x v="2"/>
    <x v="2"/>
    <x v="31"/>
    <x v="2"/>
    <s v="California"/>
    <s v="San Francisco"/>
    <x v="0"/>
    <n v="0.65"/>
    <n v="9750"/>
    <x v="95"/>
    <n v="2218.125"/>
    <n v="0.35000000000000003"/>
  </r>
  <r>
    <x v="2"/>
    <x v="2"/>
    <x v="31"/>
    <x v="2"/>
    <s v="California"/>
    <s v="San Francisco"/>
    <x v="1"/>
    <n v="0.70000000000000007"/>
    <n v="9250"/>
    <x v="96"/>
    <n v="1295.0000000000002"/>
    <n v="0.2"/>
  </r>
  <r>
    <x v="2"/>
    <x v="2"/>
    <x v="31"/>
    <x v="2"/>
    <s v="California"/>
    <s v="San Francisco"/>
    <x v="2"/>
    <n v="0.65"/>
    <n v="8000"/>
    <x v="97"/>
    <n v="1820.0000000000002"/>
    <n v="0.35000000000000003"/>
  </r>
  <r>
    <x v="2"/>
    <x v="2"/>
    <x v="31"/>
    <x v="2"/>
    <s v="California"/>
    <s v="San Francisco"/>
    <x v="3"/>
    <n v="0.65"/>
    <n v="7500"/>
    <x v="64"/>
    <n v="1462.5"/>
    <n v="0.3"/>
  </r>
  <r>
    <x v="2"/>
    <x v="2"/>
    <x v="31"/>
    <x v="2"/>
    <s v="California"/>
    <s v="San Francisco"/>
    <x v="4"/>
    <n v="0.75"/>
    <n v="7500"/>
    <x v="98"/>
    <n v="2812.5"/>
    <n v="0.5"/>
  </r>
  <r>
    <x v="2"/>
    <x v="2"/>
    <x v="31"/>
    <x v="2"/>
    <s v="California"/>
    <s v="San Francisco"/>
    <x v="5"/>
    <n v="0.8"/>
    <n v="7250"/>
    <x v="89"/>
    <n v="870.00000000000011"/>
    <n v="0.15000000000000002"/>
  </r>
  <r>
    <x v="2"/>
    <x v="2"/>
    <x v="32"/>
    <x v="2"/>
    <s v="California"/>
    <s v="San Francisco"/>
    <x v="0"/>
    <n v="0.55000000000000004"/>
    <n v="9250"/>
    <x v="16"/>
    <n v="1526.2500000000002"/>
    <n v="0.30000000000000004"/>
  </r>
  <r>
    <x v="2"/>
    <x v="2"/>
    <x v="32"/>
    <x v="2"/>
    <s v="California"/>
    <s v="San Francisco"/>
    <x v="1"/>
    <n v="0.60000000000000009"/>
    <n v="9250"/>
    <x v="99"/>
    <n v="832.50000000000011"/>
    <n v="0.15"/>
  </r>
  <r>
    <x v="2"/>
    <x v="2"/>
    <x v="32"/>
    <x v="2"/>
    <s v="California"/>
    <s v="San Francisco"/>
    <x v="2"/>
    <n v="0.55000000000000004"/>
    <n v="7750"/>
    <x v="100"/>
    <n v="1278.7500000000002"/>
    <n v="0.30000000000000004"/>
  </r>
  <r>
    <x v="2"/>
    <x v="2"/>
    <x v="32"/>
    <x v="2"/>
    <s v="California"/>
    <s v="San Francisco"/>
    <x v="3"/>
    <n v="0.55000000000000004"/>
    <n v="7250"/>
    <x v="101"/>
    <n v="996.875"/>
    <n v="0.24999999999999997"/>
  </r>
  <r>
    <x v="2"/>
    <x v="2"/>
    <x v="32"/>
    <x v="2"/>
    <s v="California"/>
    <s v="San Francisco"/>
    <x v="4"/>
    <n v="0.65"/>
    <n v="7250"/>
    <x v="84"/>
    <n v="2120.6250000000005"/>
    <n v="0.45000000000000007"/>
  </r>
  <r>
    <x v="2"/>
    <x v="2"/>
    <x v="32"/>
    <x v="2"/>
    <s v="California"/>
    <s v="San Francisco"/>
    <x v="5"/>
    <n v="0.70000000000000007"/>
    <n v="7750"/>
    <x v="102"/>
    <n v="542.50000000000011"/>
    <n v="0.1"/>
  </r>
  <r>
    <x v="2"/>
    <x v="2"/>
    <x v="33"/>
    <x v="2"/>
    <s v="California"/>
    <s v="San Francisco"/>
    <x v="0"/>
    <n v="0.55000000000000004"/>
    <n v="8750"/>
    <x v="30"/>
    <n v="1443.7500000000002"/>
    <n v="0.30000000000000004"/>
  </r>
  <r>
    <x v="2"/>
    <x v="2"/>
    <x v="33"/>
    <x v="2"/>
    <s v="California"/>
    <s v="San Francisco"/>
    <x v="1"/>
    <n v="0.60000000000000009"/>
    <n v="8750"/>
    <x v="103"/>
    <n v="787.50000000000011"/>
    <n v="0.15"/>
  </r>
  <r>
    <x v="2"/>
    <x v="2"/>
    <x v="33"/>
    <x v="2"/>
    <s v="California"/>
    <s v="San Francisco"/>
    <x v="2"/>
    <n v="0.55000000000000004"/>
    <n v="7000"/>
    <x v="104"/>
    <n v="1155.0000000000002"/>
    <n v="0.30000000000000004"/>
  </r>
  <r>
    <x v="2"/>
    <x v="2"/>
    <x v="33"/>
    <x v="2"/>
    <s v="California"/>
    <s v="San Francisco"/>
    <x v="3"/>
    <n v="0.55000000000000004"/>
    <n v="6750"/>
    <x v="105"/>
    <n v="928.125"/>
    <n v="0.24999999999999997"/>
  </r>
  <r>
    <x v="2"/>
    <x v="2"/>
    <x v="33"/>
    <x v="2"/>
    <s v="California"/>
    <s v="San Francisco"/>
    <x v="4"/>
    <n v="0.65"/>
    <n v="6500"/>
    <x v="106"/>
    <n v="1901.2500000000002"/>
    <n v="0.45000000000000007"/>
  </r>
  <r>
    <x v="2"/>
    <x v="2"/>
    <x v="33"/>
    <x v="2"/>
    <s v="California"/>
    <s v="San Francisco"/>
    <x v="5"/>
    <n v="0.70000000000000007"/>
    <n v="7000"/>
    <x v="107"/>
    <n v="490.00000000000011"/>
    <n v="0.1"/>
  </r>
  <r>
    <x v="2"/>
    <x v="2"/>
    <x v="34"/>
    <x v="2"/>
    <s v="California"/>
    <s v="San Francisco"/>
    <x v="0"/>
    <n v="0.55000000000000004"/>
    <n v="8750"/>
    <x v="30"/>
    <n v="1443.7500000000002"/>
    <n v="0.30000000000000004"/>
  </r>
  <r>
    <x v="2"/>
    <x v="2"/>
    <x v="34"/>
    <x v="2"/>
    <s v="California"/>
    <s v="San Francisco"/>
    <x v="1"/>
    <n v="0.60000000000000009"/>
    <n v="8750"/>
    <x v="103"/>
    <n v="787.50000000000011"/>
    <n v="0.15"/>
  </r>
  <r>
    <x v="2"/>
    <x v="2"/>
    <x v="34"/>
    <x v="2"/>
    <s v="California"/>
    <s v="San Francisco"/>
    <x v="2"/>
    <n v="0.55000000000000004"/>
    <n v="7250"/>
    <x v="101"/>
    <n v="1196.2500000000002"/>
    <n v="0.30000000000000004"/>
  </r>
  <r>
    <x v="2"/>
    <x v="2"/>
    <x v="34"/>
    <x v="2"/>
    <s v="California"/>
    <s v="San Francisco"/>
    <x v="3"/>
    <n v="0.55000000000000004"/>
    <n v="7000"/>
    <x v="104"/>
    <n v="962.5"/>
    <n v="0.24999999999999997"/>
  </r>
  <r>
    <x v="2"/>
    <x v="2"/>
    <x v="34"/>
    <x v="2"/>
    <s v="California"/>
    <s v="San Francisco"/>
    <x v="4"/>
    <n v="0.65"/>
    <n v="6500"/>
    <x v="106"/>
    <n v="1901.2500000000002"/>
    <n v="0.45000000000000007"/>
  </r>
  <r>
    <x v="2"/>
    <x v="2"/>
    <x v="34"/>
    <x v="2"/>
    <s v="California"/>
    <s v="San Francisco"/>
    <x v="5"/>
    <n v="0.70000000000000007"/>
    <n v="7750"/>
    <x v="102"/>
    <n v="542.50000000000011"/>
    <n v="0.1"/>
  </r>
  <r>
    <x v="2"/>
    <x v="2"/>
    <x v="35"/>
    <x v="2"/>
    <s v="California"/>
    <s v="San Francisco"/>
    <x v="0"/>
    <n v="0.55000000000000004"/>
    <n v="9750"/>
    <x v="34"/>
    <n v="1608.7500000000002"/>
    <n v="0.30000000000000004"/>
  </r>
  <r>
    <x v="2"/>
    <x v="2"/>
    <x v="35"/>
    <x v="2"/>
    <s v="California"/>
    <s v="San Francisco"/>
    <x v="1"/>
    <n v="0.60000000000000009"/>
    <n v="9750"/>
    <x v="108"/>
    <n v="877.50000000000011"/>
    <n v="0.15"/>
  </r>
  <r>
    <x v="2"/>
    <x v="2"/>
    <x v="35"/>
    <x v="2"/>
    <s v="California"/>
    <s v="San Francisco"/>
    <x v="2"/>
    <n v="0.55000000000000004"/>
    <n v="7750"/>
    <x v="100"/>
    <n v="1278.7500000000002"/>
    <n v="0.30000000000000004"/>
  </r>
  <r>
    <x v="2"/>
    <x v="2"/>
    <x v="35"/>
    <x v="2"/>
    <s v="California"/>
    <s v="San Francisco"/>
    <x v="3"/>
    <n v="0.55000000000000004"/>
    <n v="7750"/>
    <x v="100"/>
    <n v="1065.6249999999998"/>
    <n v="0.24999999999999997"/>
  </r>
  <r>
    <x v="2"/>
    <x v="2"/>
    <x v="35"/>
    <x v="2"/>
    <s v="California"/>
    <s v="San Francisco"/>
    <x v="4"/>
    <n v="0.65"/>
    <n v="7000"/>
    <x v="109"/>
    <n v="2047.5000000000002"/>
    <n v="0.45000000000000007"/>
  </r>
  <r>
    <x v="2"/>
    <x v="2"/>
    <x v="35"/>
    <x v="2"/>
    <s v="California"/>
    <s v="San Francisco"/>
    <x v="5"/>
    <n v="0.70000000000000007"/>
    <n v="8000"/>
    <x v="110"/>
    <n v="560.00000000000011"/>
    <n v="0.1"/>
  </r>
  <r>
    <x v="3"/>
    <x v="3"/>
    <x v="36"/>
    <x v="2"/>
    <s v="California"/>
    <s v="Los Angeles"/>
    <x v="0"/>
    <n v="0.35"/>
    <n v="7000"/>
    <x v="41"/>
    <n v="980"/>
    <n v="0.4"/>
  </r>
  <r>
    <x v="3"/>
    <x v="3"/>
    <x v="36"/>
    <x v="2"/>
    <s v="California"/>
    <s v="Los Angeles"/>
    <x v="1"/>
    <n v="0.45"/>
    <n v="7000"/>
    <x v="40"/>
    <n v="787.5"/>
    <n v="0.25"/>
  </r>
  <r>
    <x v="3"/>
    <x v="3"/>
    <x v="36"/>
    <x v="2"/>
    <s v="California"/>
    <s v="Los Angeles"/>
    <x v="2"/>
    <n v="0.45"/>
    <n v="7000"/>
    <x v="40"/>
    <n v="1260"/>
    <n v="0.4"/>
  </r>
  <r>
    <x v="3"/>
    <x v="3"/>
    <x v="36"/>
    <x v="2"/>
    <s v="California"/>
    <s v="Los Angeles"/>
    <x v="3"/>
    <n v="0.45"/>
    <n v="5500"/>
    <x v="111"/>
    <n v="866.25"/>
    <n v="0.35"/>
  </r>
  <r>
    <x v="3"/>
    <x v="3"/>
    <x v="36"/>
    <x v="2"/>
    <s v="California"/>
    <s v="Los Angeles"/>
    <x v="4"/>
    <n v="0.5"/>
    <n v="5000"/>
    <x v="54"/>
    <n v="1375"/>
    <n v="0.55000000000000004"/>
  </r>
  <r>
    <x v="3"/>
    <x v="3"/>
    <x v="36"/>
    <x v="2"/>
    <s v="California"/>
    <s v="Los Angeles"/>
    <x v="5"/>
    <n v="0.45"/>
    <n v="7000"/>
    <x v="40"/>
    <n v="630"/>
    <n v="0.2"/>
  </r>
  <r>
    <x v="3"/>
    <x v="3"/>
    <x v="37"/>
    <x v="2"/>
    <s v="California"/>
    <s v="Los Angeles"/>
    <x v="0"/>
    <n v="0.35"/>
    <n v="7500"/>
    <x v="48"/>
    <n v="1050"/>
    <n v="0.4"/>
  </r>
  <r>
    <x v="3"/>
    <x v="3"/>
    <x v="37"/>
    <x v="2"/>
    <s v="California"/>
    <s v="Los Angeles"/>
    <x v="1"/>
    <n v="0.45"/>
    <n v="6500"/>
    <x v="62"/>
    <n v="731.25"/>
    <n v="0.25"/>
  </r>
  <r>
    <x v="3"/>
    <x v="3"/>
    <x v="37"/>
    <x v="2"/>
    <s v="California"/>
    <s v="Los Angeles"/>
    <x v="2"/>
    <n v="0.45"/>
    <n v="6750"/>
    <x v="112"/>
    <n v="1215"/>
    <n v="0.4"/>
  </r>
  <r>
    <x v="3"/>
    <x v="3"/>
    <x v="37"/>
    <x v="2"/>
    <s v="California"/>
    <s v="Los Angeles"/>
    <x v="3"/>
    <n v="0.45"/>
    <n v="5250"/>
    <x v="45"/>
    <n v="826.875"/>
    <n v="0.35"/>
  </r>
  <r>
    <x v="3"/>
    <x v="3"/>
    <x v="37"/>
    <x v="2"/>
    <s v="California"/>
    <s v="Los Angeles"/>
    <x v="4"/>
    <n v="0.5"/>
    <n v="4500"/>
    <x v="39"/>
    <n v="1237.5"/>
    <n v="0.55000000000000004"/>
  </r>
  <r>
    <x v="3"/>
    <x v="3"/>
    <x v="37"/>
    <x v="2"/>
    <s v="California"/>
    <s v="Los Angeles"/>
    <x v="5"/>
    <n v="0.45"/>
    <n v="6500"/>
    <x v="62"/>
    <n v="585"/>
    <n v="0.2"/>
  </r>
  <r>
    <x v="3"/>
    <x v="3"/>
    <x v="38"/>
    <x v="2"/>
    <s v="California"/>
    <s v="Los Angeles"/>
    <x v="0"/>
    <n v="0.35"/>
    <n v="8000"/>
    <x v="59"/>
    <n v="1120"/>
    <n v="0.4"/>
  </r>
  <r>
    <x v="3"/>
    <x v="3"/>
    <x v="38"/>
    <x v="2"/>
    <s v="California"/>
    <s v="Los Angeles"/>
    <x v="1"/>
    <n v="0.45"/>
    <n v="6500"/>
    <x v="62"/>
    <n v="731.25"/>
    <n v="0.25"/>
  </r>
  <r>
    <x v="3"/>
    <x v="3"/>
    <x v="38"/>
    <x v="2"/>
    <s v="California"/>
    <s v="Los Angeles"/>
    <x v="2"/>
    <n v="0.45"/>
    <n v="6500"/>
    <x v="62"/>
    <n v="1170"/>
    <n v="0.4"/>
  </r>
  <r>
    <x v="3"/>
    <x v="3"/>
    <x v="38"/>
    <x v="2"/>
    <s v="California"/>
    <s v="Los Angeles"/>
    <x v="3"/>
    <n v="0.45"/>
    <n v="5500"/>
    <x v="111"/>
    <n v="866.25"/>
    <n v="0.35"/>
  </r>
  <r>
    <x v="3"/>
    <x v="3"/>
    <x v="38"/>
    <x v="2"/>
    <s v="California"/>
    <s v="Los Angeles"/>
    <x v="4"/>
    <n v="0.5"/>
    <n v="4250"/>
    <x v="43"/>
    <n v="1168.75"/>
    <n v="0.55000000000000004"/>
  </r>
  <r>
    <x v="3"/>
    <x v="3"/>
    <x v="38"/>
    <x v="2"/>
    <s v="California"/>
    <s v="Los Angeles"/>
    <x v="5"/>
    <n v="0.45"/>
    <n v="6250"/>
    <x v="67"/>
    <n v="562.5"/>
    <n v="0.2"/>
  </r>
  <r>
    <x v="3"/>
    <x v="3"/>
    <x v="39"/>
    <x v="2"/>
    <s v="California"/>
    <s v="Los Angeles"/>
    <x v="0"/>
    <n v="0.45"/>
    <n v="8000"/>
    <x v="11"/>
    <n v="1440"/>
    <n v="0.4"/>
  </r>
  <r>
    <x v="3"/>
    <x v="3"/>
    <x v="39"/>
    <x v="2"/>
    <s v="California"/>
    <s v="Los Angeles"/>
    <x v="1"/>
    <n v="0.5"/>
    <n v="6000"/>
    <x v="61"/>
    <n v="750"/>
    <n v="0.25"/>
  </r>
  <r>
    <x v="3"/>
    <x v="3"/>
    <x v="39"/>
    <x v="2"/>
    <s v="California"/>
    <s v="Los Angeles"/>
    <x v="2"/>
    <n v="0.5"/>
    <n v="6250"/>
    <x v="66"/>
    <n v="1250"/>
    <n v="0.4"/>
  </r>
  <r>
    <x v="3"/>
    <x v="3"/>
    <x v="39"/>
    <x v="2"/>
    <s v="California"/>
    <s v="Los Angeles"/>
    <x v="3"/>
    <n v="0.45"/>
    <n v="5250"/>
    <x v="45"/>
    <n v="826.875"/>
    <n v="0.35"/>
  </r>
  <r>
    <x v="3"/>
    <x v="3"/>
    <x v="39"/>
    <x v="2"/>
    <s v="California"/>
    <s v="Los Angeles"/>
    <x v="4"/>
    <n v="0.5"/>
    <n v="4250"/>
    <x v="43"/>
    <n v="1168.75"/>
    <n v="0.55000000000000004"/>
  </r>
  <r>
    <x v="3"/>
    <x v="3"/>
    <x v="39"/>
    <x v="2"/>
    <s v="California"/>
    <s v="Los Angeles"/>
    <x v="5"/>
    <n v="0.65"/>
    <n v="6000"/>
    <x v="87"/>
    <n v="780"/>
    <n v="0.2"/>
  </r>
  <r>
    <x v="3"/>
    <x v="3"/>
    <x v="40"/>
    <x v="2"/>
    <s v="California"/>
    <s v="Los Angeles"/>
    <x v="0"/>
    <n v="0.45"/>
    <n v="8000"/>
    <x v="11"/>
    <n v="1440"/>
    <n v="0.4"/>
  </r>
  <r>
    <x v="3"/>
    <x v="3"/>
    <x v="40"/>
    <x v="2"/>
    <s v="California"/>
    <s v="Los Angeles"/>
    <x v="1"/>
    <n v="0.5"/>
    <n v="6500"/>
    <x v="82"/>
    <n v="812.5"/>
    <n v="0.25"/>
  </r>
  <r>
    <x v="3"/>
    <x v="3"/>
    <x v="40"/>
    <x v="2"/>
    <s v="California"/>
    <s v="Los Angeles"/>
    <x v="2"/>
    <n v="0.5"/>
    <n v="6500"/>
    <x v="82"/>
    <n v="1300"/>
    <n v="0.4"/>
  </r>
  <r>
    <x v="3"/>
    <x v="3"/>
    <x v="40"/>
    <x v="2"/>
    <s v="California"/>
    <s v="Los Angeles"/>
    <x v="3"/>
    <n v="0.45"/>
    <n v="5500"/>
    <x v="111"/>
    <n v="866.25"/>
    <n v="0.35"/>
  </r>
  <r>
    <x v="3"/>
    <x v="3"/>
    <x v="40"/>
    <x v="2"/>
    <s v="California"/>
    <s v="Los Angeles"/>
    <x v="4"/>
    <n v="0.5"/>
    <n v="4500"/>
    <x v="39"/>
    <n v="1237.5"/>
    <n v="0.55000000000000004"/>
  </r>
  <r>
    <x v="3"/>
    <x v="3"/>
    <x v="40"/>
    <x v="2"/>
    <s v="California"/>
    <s v="Los Angeles"/>
    <x v="5"/>
    <n v="0.65"/>
    <n v="6250"/>
    <x v="113"/>
    <n v="812.5"/>
    <n v="0.2"/>
  </r>
  <r>
    <x v="3"/>
    <x v="3"/>
    <x v="41"/>
    <x v="2"/>
    <s v="California"/>
    <s v="Los Angeles"/>
    <x v="0"/>
    <n v="0.45"/>
    <n v="9000"/>
    <x v="72"/>
    <n v="1620"/>
    <n v="0.4"/>
  </r>
  <r>
    <x v="3"/>
    <x v="3"/>
    <x v="41"/>
    <x v="2"/>
    <s v="California"/>
    <s v="Los Angeles"/>
    <x v="1"/>
    <n v="0.5"/>
    <n v="7500"/>
    <x v="69"/>
    <n v="937.5"/>
    <n v="0.25"/>
  </r>
  <r>
    <x v="3"/>
    <x v="3"/>
    <x v="41"/>
    <x v="2"/>
    <s v="California"/>
    <s v="Los Angeles"/>
    <x v="2"/>
    <n v="0.5"/>
    <n v="7500"/>
    <x v="69"/>
    <n v="1500"/>
    <n v="0.4"/>
  </r>
  <r>
    <x v="3"/>
    <x v="3"/>
    <x v="41"/>
    <x v="2"/>
    <s v="California"/>
    <s v="Los Angeles"/>
    <x v="3"/>
    <n v="0.45"/>
    <n v="6250"/>
    <x v="67"/>
    <n v="984.37499999999989"/>
    <n v="0.35"/>
  </r>
  <r>
    <x v="3"/>
    <x v="3"/>
    <x v="41"/>
    <x v="2"/>
    <s v="California"/>
    <s v="Los Angeles"/>
    <x v="4"/>
    <n v="0.5"/>
    <n v="5000"/>
    <x v="54"/>
    <n v="1375"/>
    <n v="0.55000000000000004"/>
  </r>
  <r>
    <x v="3"/>
    <x v="3"/>
    <x v="41"/>
    <x v="2"/>
    <s v="California"/>
    <s v="Los Angeles"/>
    <x v="5"/>
    <n v="0.65"/>
    <n v="8000"/>
    <x v="97"/>
    <n v="1040"/>
    <n v="0.2"/>
  </r>
  <r>
    <x v="3"/>
    <x v="3"/>
    <x v="42"/>
    <x v="2"/>
    <s v="California"/>
    <s v="Los Angeles"/>
    <x v="0"/>
    <n v="0.45"/>
    <n v="9500"/>
    <x v="60"/>
    <n v="1710"/>
    <n v="0.4"/>
  </r>
  <r>
    <x v="3"/>
    <x v="3"/>
    <x v="42"/>
    <x v="2"/>
    <s v="California"/>
    <s v="Los Angeles"/>
    <x v="1"/>
    <n v="0.5"/>
    <n v="8000"/>
    <x v="2"/>
    <n v="1000"/>
    <n v="0.25"/>
  </r>
  <r>
    <x v="3"/>
    <x v="3"/>
    <x v="42"/>
    <x v="2"/>
    <s v="California"/>
    <s v="Los Angeles"/>
    <x v="2"/>
    <n v="0.5"/>
    <n v="7500"/>
    <x v="69"/>
    <n v="1500"/>
    <n v="0.4"/>
  </r>
  <r>
    <x v="3"/>
    <x v="3"/>
    <x v="42"/>
    <x v="2"/>
    <s v="California"/>
    <s v="Los Angeles"/>
    <x v="3"/>
    <n v="0.45"/>
    <n v="6500"/>
    <x v="62"/>
    <n v="1023.7499999999999"/>
    <n v="0.35"/>
  </r>
  <r>
    <x v="3"/>
    <x v="3"/>
    <x v="42"/>
    <x v="2"/>
    <s v="California"/>
    <s v="Los Angeles"/>
    <x v="4"/>
    <n v="0.5"/>
    <n v="7000"/>
    <x v="49"/>
    <n v="1925.0000000000002"/>
    <n v="0.55000000000000004"/>
  </r>
  <r>
    <x v="3"/>
    <x v="3"/>
    <x v="42"/>
    <x v="2"/>
    <s v="California"/>
    <s v="Los Angeles"/>
    <x v="5"/>
    <n v="0.65"/>
    <n v="7000"/>
    <x v="109"/>
    <n v="910"/>
    <n v="0.2"/>
  </r>
  <r>
    <x v="3"/>
    <x v="3"/>
    <x v="43"/>
    <x v="2"/>
    <s v="California"/>
    <s v="Los Angeles"/>
    <x v="0"/>
    <n v="0.5"/>
    <n v="9000"/>
    <x v="6"/>
    <n v="1800"/>
    <n v="0.4"/>
  </r>
  <r>
    <x v="3"/>
    <x v="3"/>
    <x v="43"/>
    <x v="2"/>
    <s v="California"/>
    <s v="Los Angeles"/>
    <x v="1"/>
    <n v="0.55000000000000004"/>
    <n v="8500"/>
    <x v="68"/>
    <n v="1168.75"/>
    <n v="0.25"/>
  </r>
  <r>
    <x v="3"/>
    <x v="3"/>
    <x v="43"/>
    <x v="2"/>
    <s v="California"/>
    <s v="Los Angeles"/>
    <x v="2"/>
    <n v="0.5"/>
    <n v="7250"/>
    <x v="78"/>
    <n v="1450"/>
    <n v="0.4"/>
  </r>
  <r>
    <x v="3"/>
    <x v="3"/>
    <x v="43"/>
    <x v="2"/>
    <s v="California"/>
    <s v="Los Angeles"/>
    <x v="3"/>
    <n v="0.5"/>
    <n v="6750"/>
    <x v="73"/>
    <n v="1181.25"/>
    <n v="0.35"/>
  </r>
  <r>
    <x v="3"/>
    <x v="3"/>
    <x v="43"/>
    <x v="2"/>
    <s v="California"/>
    <s v="Los Angeles"/>
    <x v="4"/>
    <n v="0.6"/>
    <n v="6750"/>
    <x v="72"/>
    <n v="2227.5"/>
    <n v="0.55000000000000004"/>
  </r>
  <r>
    <x v="3"/>
    <x v="3"/>
    <x v="43"/>
    <x v="2"/>
    <s v="California"/>
    <s v="Los Angeles"/>
    <x v="5"/>
    <n v="0.65"/>
    <n v="6500"/>
    <x v="106"/>
    <n v="845"/>
    <n v="0.2"/>
  </r>
  <r>
    <x v="3"/>
    <x v="3"/>
    <x v="44"/>
    <x v="2"/>
    <s v="California"/>
    <s v="Los Angeles"/>
    <x v="0"/>
    <n v="0.5"/>
    <n v="8500"/>
    <x v="17"/>
    <n v="1700"/>
    <n v="0.4"/>
  </r>
  <r>
    <x v="3"/>
    <x v="3"/>
    <x v="44"/>
    <x v="2"/>
    <s v="California"/>
    <s v="Los Angeles"/>
    <x v="1"/>
    <n v="0.55000000000000004"/>
    <n v="8500"/>
    <x v="68"/>
    <n v="1168.75"/>
    <n v="0.25"/>
  </r>
  <r>
    <x v="3"/>
    <x v="3"/>
    <x v="44"/>
    <x v="2"/>
    <s v="California"/>
    <s v="Los Angeles"/>
    <x v="2"/>
    <n v="0.5"/>
    <n v="7000"/>
    <x v="49"/>
    <n v="1400"/>
    <n v="0.4"/>
  </r>
  <r>
    <x v="3"/>
    <x v="3"/>
    <x v="44"/>
    <x v="2"/>
    <s v="California"/>
    <s v="Los Angeles"/>
    <x v="3"/>
    <n v="0.5"/>
    <n v="6500"/>
    <x v="82"/>
    <n v="1137.5"/>
    <n v="0.35"/>
  </r>
  <r>
    <x v="3"/>
    <x v="3"/>
    <x v="44"/>
    <x v="2"/>
    <s v="California"/>
    <s v="Los Angeles"/>
    <x v="4"/>
    <n v="0.6"/>
    <n v="6500"/>
    <x v="87"/>
    <n v="2145"/>
    <n v="0.55000000000000004"/>
  </r>
  <r>
    <x v="3"/>
    <x v="3"/>
    <x v="44"/>
    <x v="2"/>
    <s v="California"/>
    <s v="Los Angeles"/>
    <x v="5"/>
    <n v="0.65"/>
    <n v="7000"/>
    <x v="109"/>
    <n v="910"/>
    <n v="0.2"/>
  </r>
  <r>
    <x v="3"/>
    <x v="3"/>
    <x v="45"/>
    <x v="2"/>
    <s v="California"/>
    <s v="Los Angeles"/>
    <x v="0"/>
    <n v="0.5"/>
    <n v="8000"/>
    <x v="2"/>
    <n v="1600"/>
    <n v="0.4"/>
  </r>
  <r>
    <x v="3"/>
    <x v="3"/>
    <x v="45"/>
    <x v="2"/>
    <s v="California"/>
    <s v="Los Angeles"/>
    <x v="1"/>
    <n v="0.55000000000000004"/>
    <n v="8000"/>
    <x v="63"/>
    <n v="1100"/>
    <n v="0.25"/>
  </r>
  <r>
    <x v="3"/>
    <x v="3"/>
    <x v="45"/>
    <x v="2"/>
    <s v="California"/>
    <s v="Los Angeles"/>
    <x v="2"/>
    <n v="0.5"/>
    <n v="6500"/>
    <x v="82"/>
    <n v="1300"/>
    <n v="0.4"/>
  </r>
  <r>
    <x v="3"/>
    <x v="3"/>
    <x v="45"/>
    <x v="2"/>
    <s v="California"/>
    <s v="Los Angeles"/>
    <x v="3"/>
    <n v="0.5"/>
    <n v="6250"/>
    <x v="66"/>
    <n v="1093.75"/>
    <n v="0.35"/>
  </r>
  <r>
    <x v="3"/>
    <x v="3"/>
    <x v="45"/>
    <x v="2"/>
    <s v="California"/>
    <s v="Los Angeles"/>
    <x v="4"/>
    <n v="0.6"/>
    <n v="6000"/>
    <x v="11"/>
    <n v="1980.0000000000002"/>
    <n v="0.55000000000000004"/>
  </r>
  <r>
    <x v="3"/>
    <x v="3"/>
    <x v="45"/>
    <x v="2"/>
    <s v="California"/>
    <s v="Los Angeles"/>
    <x v="5"/>
    <n v="0.65"/>
    <n v="6500"/>
    <x v="106"/>
    <n v="845"/>
    <n v="0.2"/>
  </r>
  <r>
    <x v="3"/>
    <x v="3"/>
    <x v="46"/>
    <x v="2"/>
    <s v="California"/>
    <s v="Los Angeles"/>
    <x v="0"/>
    <n v="0.5"/>
    <n v="8250"/>
    <x v="71"/>
    <n v="1650"/>
    <n v="0.4"/>
  </r>
  <r>
    <x v="3"/>
    <x v="3"/>
    <x v="46"/>
    <x v="2"/>
    <s v="California"/>
    <s v="Los Angeles"/>
    <x v="1"/>
    <n v="0.55000000000000004"/>
    <n v="8250"/>
    <x v="114"/>
    <n v="1134.375"/>
    <n v="0.25"/>
  </r>
  <r>
    <x v="3"/>
    <x v="3"/>
    <x v="46"/>
    <x v="2"/>
    <s v="California"/>
    <s v="Los Angeles"/>
    <x v="2"/>
    <n v="0.5"/>
    <n v="6750"/>
    <x v="73"/>
    <n v="1350"/>
    <n v="0.4"/>
  </r>
  <r>
    <x v="3"/>
    <x v="3"/>
    <x v="46"/>
    <x v="2"/>
    <s v="California"/>
    <s v="Los Angeles"/>
    <x v="3"/>
    <n v="0.5"/>
    <n v="6500"/>
    <x v="82"/>
    <n v="1137.5"/>
    <n v="0.35"/>
  </r>
  <r>
    <x v="3"/>
    <x v="3"/>
    <x v="46"/>
    <x v="2"/>
    <s v="California"/>
    <s v="Los Angeles"/>
    <x v="4"/>
    <n v="0.6"/>
    <n v="6000"/>
    <x v="11"/>
    <n v="1980.0000000000002"/>
    <n v="0.55000000000000004"/>
  </r>
  <r>
    <x v="3"/>
    <x v="3"/>
    <x v="46"/>
    <x v="2"/>
    <s v="California"/>
    <s v="Los Angeles"/>
    <x v="5"/>
    <n v="0.65"/>
    <n v="7000"/>
    <x v="109"/>
    <n v="910"/>
    <n v="0.2"/>
  </r>
  <r>
    <x v="3"/>
    <x v="3"/>
    <x v="47"/>
    <x v="2"/>
    <s v="California"/>
    <s v="Los Angeles"/>
    <x v="0"/>
    <n v="0.5"/>
    <n v="9000"/>
    <x v="6"/>
    <n v="1800"/>
    <n v="0.4"/>
  </r>
  <r>
    <x v="3"/>
    <x v="3"/>
    <x v="47"/>
    <x v="2"/>
    <s v="California"/>
    <s v="Los Angeles"/>
    <x v="1"/>
    <n v="0.55000000000000004"/>
    <n v="9000"/>
    <x v="14"/>
    <n v="1237.5"/>
    <n v="0.25"/>
  </r>
  <r>
    <x v="3"/>
    <x v="3"/>
    <x v="47"/>
    <x v="2"/>
    <s v="California"/>
    <s v="Los Angeles"/>
    <x v="2"/>
    <n v="0.5"/>
    <n v="7000"/>
    <x v="49"/>
    <n v="1400"/>
    <n v="0.4"/>
  </r>
  <r>
    <x v="3"/>
    <x v="3"/>
    <x v="47"/>
    <x v="2"/>
    <s v="California"/>
    <s v="Los Angeles"/>
    <x v="3"/>
    <n v="0.5"/>
    <n v="7000"/>
    <x v="49"/>
    <n v="1225"/>
    <n v="0.35"/>
  </r>
  <r>
    <x v="3"/>
    <x v="3"/>
    <x v="47"/>
    <x v="2"/>
    <s v="California"/>
    <s v="Los Angeles"/>
    <x v="4"/>
    <n v="0.6"/>
    <n v="6250"/>
    <x v="69"/>
    <n v="2062.5"/>
    <n v="0.55000000000000004"/>
  </r>
  <r>
    <x v="3"/>
    <x v="3"/>
    <x v="47"/>
    <x v="2"/>
    <s v="California"/>
    <s v="Los Angeles"/>
    <x v="5"/>
    <n v="0.65"/>
    <n v="7250"/>
    <x v="84"/>
    <n v="942.5"/>
    <n v="0.2"/>
  </r>
  <r>
    <x v="0"/>
    <x v="0"/>
    <x v="36"/>
    <x v="3"/>
    <s v="Illinois"/>
    <s v="Chicago"/>
    <x v="0"/>
    <n v="0.45"/>
    <n v="4750"/>
    <x v="115"/>
    <n v="855"/>
    <n v="0.4"/>
  </r>
  <r>
    <x v="0"/>
    <x v="0"/>
    <x v="36"/>
    <x v="3"/>
    <s v="Illinois"/>
    <s v="Chicago"/>
    <x v="1"/>
    <n v="0.45"/>
    <n v="2750"/>
    <x v="116"/>
    <n v="433.125"/>
    <n v="0.35"/>
  </r>
  <r>
    <x v="0"/>
    <x v="0"/>
    <x v="36"/>
    <x v="3"/>
    <s v="Illinois"/>
    <s v="Chicago"/>
    <x v="2"/>
    <n v="0.35000000000000003"/>
    <n v="2750"/>
    <x v="117"/>
    <n v="336.875"/>
    <n v="0.35"/>
  </r>
  <r>
    <x v="0"/>
    <x v="0"/>
    <x v="36"/>
    <x v="3"/>
    <s v="Illinois"/>
    <s v="Chicago"/>
    <x v="3"/>
    <n v="0.4"/>
    <n v="1250"/>
    <x v="118"/>
    <n v="200"/>
    <n v="0.4"/>
  </r>
  <r>
    <x v="0"/>
    <x v="0"/>
    <x v="36"/>
    <x v="3"/>
    <s v="Illinois"/>
    <s v="Chicago"/>
    <x v="4"/>
    <n v="0.54999999999999993"/>
    <n v="1750"/>
    <x v="119"/>
    <n v="336.87499999999994"/>
    <n v="0.35"/>
  </r>
  <r>
    <x v="0"/>
    <x v="0"/>
    <x v="36"/>
    <x v="3"/>
    <s v="Illinois"/>
    <s v="Chicago"/>
    <x v="5"/>
    <n v="0.45"/>
    <n v="2750"/>
    <x v="116"/>
    <n v="618.75"/>
    <n v="0.5"/>
  </r>
  <r>
    <x v="0"/>
    <x v="0"/>
    <x v="37"/>
    <x v="3"/>
    <s v="Illinois"/>
    <s v="Chicago"/>
    <x v="0"/>
    <n v="0.45"/>
    <n v="5250"/>
    <x v="45"/>
    <n v="945"/>
    <n v="0.4"/>
  </r>
  <r>
    <x v="0"/>
    <x v="0"/>
    <x v="37"/>
    <x v="3"/>
    <s v="Illinois"/>
    <s v="Chicago"/>
    <x v="1"/>
    <n v="0.45"/>
    <n v="1750"/>
    <x v="120"/>
    <n v="275.625"/>
    <n v="0.35"/>
  </r>
  <r>
    <x v="0"/>
    <x v="0"/>
    <x v="37"/>
    <x v="3"/>
    <s v="Illinois"/>
    <s v="Chicago"/>
    <x v="2"/>
    <n v="0.35000000000000003"/>
    <n v="2250"/>
    <x v="121"/>
    <n v="275.625"/>
    <n v="0.35"/>
  </r>
  <r>
    <x v="0"/>
    <x v="0"/>
    <x v="37"/>
    <x v="3"/>
    <s v="Illinois"/>
    <s v="Chicago"/>
    <x v="3"/>
    <n v="0.4"/>
    <n v="1000"/>
    <x v="122"/>
    <n v="160"/>
    <n v="0.4"/>
  </r>
  <r>
    <x v="0"/>
    <x v="0"/>
    <x v="37"/>
    <x v="3"/>
    <s v="Illinois"/>
    <s v="Chicago"/>
    <x v="4"/>
    <n v="0.54999999999999993"/>
    <n v="1750"/>
    <x v="119"/>
    <n v="336.87499999999994"/>
    <n v="0.35"/>
  </r>
  <r>
    <x v="0"/>
    <x v="0"/>
    <x v="37"/>
    <x v="3"/>
    <s v="Illinois"/>
    <s v="Chicago"/>
    <x v="5"/>
    <n v="0.45"/>
    <n v="2750"/>
    <x v="116"/>
    <n v="618.75"/>
    <n v="0.5"/>
  </r>
  <r>
    <x v="0"/>
    <x v="0"/>
    <x v="38"/>
    <x v="3"/>
    <s v="Illinois"/>
    <s v="Chicago"/>
    <x v="0"/>
    <n v="0.5"/>
    <n v="4950"/>
    <x v="111"/>
    <n v="990"/>
    <n v="0.4"/>
  </r>
  <r>
    <x v="0"/>
    <x v="0"/>
    <x v="38"/>
    <x v="3"/>
    <s v="Illinois"/>
    <s v="Chicago"/>
    <x v="1"/>
    <n v="0.5"/>
    <n v="2000"/>
    <x v="123"/>
    <n v="350"/>
    <n v="0.35"/>
  </r>
  <r>
    <x v="0"/>
    <x v="0"/>
    <x v="38"/>
    <x v="3"/>
    <s v="Illinois"/>
    <s v="Chicago"/>
    <x v="2"/>
    <n v="0.4"/>
    <n v="2250"/>
    <x v="124"/>
    <n v="315"/>
    <n v="0.35"/>
  </r>
  <r>
    <x v="0"/>
    <x v="0"/>
    <x v="38"/>
    <x v="3"/>
    <s v="Illinois"/>
    <s v="Chicago"/>
    <x v="3"/>
    <n v="0.45"/>
    <n v="750"/>
    <x v="125"/>
    <n v="135"/>
    <n v="0.4"/>
  </r>
  <r>
    <x v="0"/>
    <x v="0"/>
    <x v="38"/>
    <x v="3"/>
    <s v="Illinois"/>
    <s v="Chicago"/>
    <x v="4"/>
    <n v="0.6"/>
    <n v="1250"/>
    <x v="126"/>
    <n v="262.5"/>
    <n v="0.35"/>
  </r>
  <r>
    <x v="0"/>
    <x v="0"/>
    <x v="38"/>
    <x v="3"/>
    <s v="Illinois"/>
    <s v="Chicago"/>
    <x v="5"/>
    <n v="0.5"/>
    <n v="2250"/>
    <x v="127"/>
    <n v="562.5"/>
    <n v="0.5"/>
  </r>
  <r>
    <x v="0"/>
    <x v="0"/>
    <x v="39"/>
    <x v="3"/>
    <s v="Illinois"/>
    <s v="Chicago"/>
    <x v="0"/>
    <n v="0.5"/>
    <n v="4500"/>
    <x v="39"/>
    <n v="900"/>
    <n v="0.4"/>
  </r>
  <r>
    <x v="0"/>
    <x v="0"/>
    <x v="39"/>
    <x v="3"/>
    <s v="Illinois"/>
    <s v="Chicago"/>
    <x v="1"/>
    <n v="0.5"/>
    <n v="1500"/>
    <x v="126"/>
    <n v="262.5"/>
    <n v="0.35"/>
  </r>
  <r>
    <x v="0"/>
    <x v="0"/>
    <x v="39"/>
    <x v="3"/>
    <s v="Illinois"/>
    <s v="Chicago"/>
    <x v="2"/>
    <n v="0.4"/>
    <n v="1500"/>
    <x v="128"/>
    <n v="210"/>
    <n v="0.35"/>
  </r>
  <r>
    <x v="0"/>
    <x v="0"/>
    <x v="39"/>
    <x v="3"/>
    <s v="Illinois"/>
    <s v="Chicago"/>
    <x v="3"/>
    <n v="0.45"/>
    <n v="750"/>
    <x v="125"/>
    <n v="135"/>
    <n v="0.4"/>
  </r>
  <r>
    <x v="0"/>
    <x v="0"/>
    <x v="39"/>
    <x v="3"/>
    <s v="Illinois"/>
    <s v="Chicago"/>
    <x v="4"/>
    <n v="0.6"/>
    <n v="1000"/>
    <x v="128"/>
    <n v="210"/>
    <n v="0.35"/>
  </r>
  <r>
    <x v="0"/>
    <x v="0"/>
    <x v="39"/>
    <x v="3"/>
    <s v="Illinois"/>
    <s v="Chicago"/>
    <x v="5"/>
    <n v="0.5"/>
    <n v="2250"/>
    <x v="127"/>
    <n v="562.5"/>
    <n v="0.5"/>
  </r>
  <r>
    <x v="0"/>
    <x v="0"/>
    <x v="40"/>
    <x v="3"/>
    <s v="Illinois"/>
    <s v="Chicago"/>
    <x v="0"/>
    <n v="0.6"/>
    <n v="4950"/>
    <x v="129"/>
    <n v="1188"/>
    <n v="0.4"/>
  </r>
  <r>
    <x v="0"/>
    <x v="0"/>
    <x v="40"/>
    <x v="3"/>
    <s v="Illinois"/>
    <s v="Chicago"/>
    <x v="1"/>
    <n v="0.55000000000000004"/>
    <n v="2000"/>
    <x v="130"/>
    <n v="385"/>
    <n v="0.35"/>
  </r>
  <r>
    <x v="0"/>
    <x v="0"/>
    <x v="40"/>
    <x v="3"/>
    <s v="Illinois"/>
    <s v="Chicago"/>
    <x v="2"/>
    <n v="0.5"/>
    <n v="1750"/>
    <x v="131"/>
    <n v="306.25"/>
    <n v="0.35"/>
  </r>
  <r>
    <x v="0"/>
    <x v="0"/>
    <x v="40"/>
    <x v="3"/>
    <s v="Illinois"/>
    <s v="Chicago"/>
    <x v="3"/>
    <n v="0.5"/>
    <n v="1000"/>
    <x v="118"/>
    <n v="200"/>
    <n v="0.4"/>
  </r>
  <r>
    <x v="0"/>
    <x v="0"/>
    <x v="40"/>
    <x v="3"/>
    <s v="Illinois"/>
    <s v="Chicago"/>
    <x v="4"/>
    <n v="0.6"/>
    <n v="1250"/>
    <x v="126"/>
    <n v="262.5"/>
    <n v="0.35"/>
  </r>
  <r>
    <x v="0"/>
    <x v="0"/>
    <x v="40"/>
    <x v="3"/>
    <s v="Illinois"/>
    <s v="Chicago"/>
    <x v="5"/>
    <n v="0.65"/>
    <n v="2500"/>
    <x v="132"/>
    <n v="812.5"/>
    <n v="0.5"/>
  </r>
  <r>
    <x v="0"/>
    <x v="0"/>
    <x v="41"/>
    <x v="3"/>
    <s v="Illinois"/>
    <s v="Chicago"/>
    <x v="0"/>
    <n v="0.5"/>
    <n v="5000"/>
    <x v="54"/>
    <n v="1000"/>
    <n v="0.4"/>
  </r>
  <r>
    <x v="0"/>
    <x v="0"/>
    <x v="41"/>
    <x v="3"/>
    <s v="Illinois"/>
    <s v="Chicago"/>
    <x v="1"/>
    <n v="0.45000000000000007"/>
    <n v="2500"/>
    <x v="133"/>
    <n v="393.75000000000006"/>
    <n v="0.35"/>
  </r>
  <r>
    <x v="0"/>
    <x v="0"/>
    <x v="41"/>
    <x v="3"/>
    <s v="Illinois"/>
    <s v="Chicago"/>
    <x v="2"/>
    <n v="0.4"/>
    <n v="2000"/>
    <x v="134"/>
    <n v="280"/>
    <n v="0.35"/>
  </r>
  <r>
    <x v="0"/>
    <x v="0"/>
    <x v="41"/>
    <x v="3"/>
    <s v="Illinois"/>
    <s v="Chicago"/>
    <x v="3"/>
    <n v="0.4"/>
    <n v="1750"/>
    <x v="135"/>
    <n v="280"/>
    <n v="0.4"/>
  </r>
  <r>
    <x v="0"/>
    <x v="0"/>
    <x v="41"/>
    <x v="3"/>
    <s v="Illinois"/>
    <s v="Chicago"/>
    <x v="4"/>
    <n v="0.5"/>
    <n v="1750"/>
    <x v="131"/>
    <n v="306.25"/>
    <n v="0.35"/>
  </r>
  <r>
    <x v="0"/>
    <x v="0"/>
    <x v="41"/>
    <x v="3"/>
    <s v="Illinois"/>
    <s v="Chicago"/>
    <x v="5"/>
    <n v="0.55000000000000004"/>
    <n v="3500"/>
    <x v="136"/>
    <n v="962.50000000000011"/>
    <n v="0.5"/>
  </r>
  <r>
    <x v="0"/>
    <x v="0"/>
    <x v="42"/>
    <x v="3"/>
    <s v="Illinois"/>
    <s v="Chicago"/>
    <x v="0"/>
    <n v="0.5"/>
    <n v="5750"/>
    <x v="79"/>
    <n v="1150"/>
    <n v="0.4"/>
  </r>
  <r>
    <x v="0"/>
    <x v="0"/>
    <x v="42"/>
    <x v="3"/>
    <s v="Illinois"/>
    <s v="Chicago"/>
    <x v="1"/>
    <n v="0.45000000000000007"/>
    <n v="3250"/>
    <x v="137"/>
    <n v="511.87500000000006"/>
    <n v="0.35"/>
  </r>
  <r>
    <x v="0"/>
    <x v="0"/>
    <x v="42"/>
    <x v="3"/>
    <s v="Illinois"/>
    <s v="Chicago"/>
    <x v="2"/>
    <n v="0.4"/>
    <n v="2500"/>
    <x v="123"/>
    <n v="350"/>
    <n v="0.35"/>
  </r>
  <r>
    <x v="0"/>
    <x v="0"/>
    <x v="42"/>
    <x v="3"/>
    <s v="Illinois"/>
    <s v="Chicago"/>
    <x v="3"/>
    <n v="0.4"/>
    <n v="2000"/>
    <x v="134"/>
    <n v="320"/>
    <n v="0.4"/>
  </r>
  <r>
    <x v="0"/>
    <x v="0"/>
    <x v="42"/>
    <x v="3"/>
    <s v="Illinois"/>
    <s v="Chicago"/>
    <x v="4"/>
    <n v="0.5"/>
    <n v="2250"/>
    <x v="127"/>
    <n v="393.75"/>
    <n v="0.35"/>
  </r>
  <r>
    <x v="0"/>
    <x v="0"/>
    <x v="42"/>
    <x v="3"/>
    <s v="Illinois"/>
    <s v="Chicago"/>
    <x v="5"/>
    <n v="0.55000000000000004"/>
    <n v="4000"/>
    <x v="42"/>
    <n v="1100"/>
    <n v="0.5"/>
  </r>
  <r>
    <x v="0"/>
    <x v="0"/>
    <x v="43"/>
    <x v="3"/>
    <s v="Illinois"/>
    <s v="Chicago"/>
    <x v="0"/>
    <n v="0.5"/>
    <n v="5500"/>
    <x v="80"/>
    <n v="1100"/>
    <n v="0.4"/>
  </r>
  <r>
    <x v="0"/>
    <x v="0"/>
    <x v="43"/>
    <x v="3"/>
    <s v="Illinois"/>
    <s v="Chicago"/>
    <x v="1"/>
    <n v="0.45000000000000007"/>
    <n v="3250"/>
    <x v="137"/>
    <n v="511.87500000000006"/>
    <n v="0.35"/>
  </r>
  <r>
    <x v="0"/>
    <x v="0"/>
    <x v="43"/>
    <x v="3"/>
    <s v="Illinois"/>
    <s v="Chicago"/>
    <x v="2"/>
    <n v="0.4"/>
    <n v="2500"/>
    <x v="123"/>
    <n v="350"/>
    <n v="0.35"/>
  </r>
  <r>
    <x v="0"/>
    <x v="0"/>
    <x v="43"/>
    <x v="3"/>
    <s v="Illinois"/>
    <s v="Chicago"/>
    <x v="3"/>
    <n v="0.4"/>
    <n v="2250"/>
    <x v="124"/>
    <n v="360"/>
    <n v="0.4"/>
  </r>
  <r>
    <x v="0"/>
    <x v="0"/>
    <x v="43"/>
    <x v="3"/>
    <s v="Illinois"/>
    <s v="Chicago"/>
    <x v="4"/>
    <n v="0.5"/>
    <n v="2000"/>
    <x v="123"/>
    <n v="350"/>
    <n v="0.35"/>
  </r>
  <r>
    <x v="0"/>
    <x v="0"/>
    <x v="43"/>
    <x v="3"/>
    <s v="Illinois"/>
    <s v="Chicago"/>
    <x v="5"/>
    <n v="0.55000000000000004"/>
    <n v="3750"/>
    <x v="138"/>
    <n v="1031.25"/>
    <n v="0.5"/>
  </r>
  <r>
    <x v="0"/>
    <x v="0"/>
    <x v="44"/>
    <x v="3"/>
    <s v="Illinois"/>
    <s v="Chicago"/>
    <x v="0"/>
    <n v="0.5"/>
    <n v="5000"/>
    <x v="54"/>
    <n v="1000"/>
    <n v="0.4"/>
  </r>
  <r>
    <x v="0"/>
    <x v="0"/>
    <x v="44"/>
    <x v="3"/>
    <s v="Illinois"/>
    <s v="Chicago"/>
    <x v="1"/>
    <n v="0.45000000000000007"/>
    <n v="3000"/>
    <x v="139"/>
    <n v="472.50000000000006"/>
    <n v="0.35"/>
  </r>
  <r>
    <x v="0"/>
    <x v="0"/>
    <x v="44"/>
    <x v="3"/>
    <s v="Illinois"/>
    <s v="Chicago"/>
    <x v="2"/>
    <n v="0.4"/>
    <n v="2000"/>
    <x v="134"/>
    <n v="280"/>
    <n v="0.35"/>
  </r>
  <r>
    <x v="0"/>
    <x v="0"/>
    <x v="44"/>
    <x v="3"/>
    <s v="Illinois"/>
    <s v="Chicago"/>
    <x v="3"/>
    <n v="0.4"/>
    <n v="1750"/>
    <x v="135"/>
    <n v="280"/>
    <n v="0.4"/>
  </r>
  <r>
    <x v="0"/>
    <x v="0"/>
    <x v="44"/>
    <x v="3"/>
    <s v="Illinois"/>
    <s v="Chicago"/>
    <x v="4"/>
    <n v="0.5"/>
    <n v="1750"/>
    <x v="131"/>
    <n v="306.25"/>
    <n v="0.35"/>
  </r>
  <r>
    <x v="0"/>
    <x v="0"/>
    <x v="44"/>
    <x v="3"/>
    <s v="Illinois"/>
    <s v="Chicago"/>
    <x v="5"/>
    <n v="0.55000000000000004"/>
    <n v="2500"/>
    <x v="140"/>
    <n v="687.5"/>
    <n v="0.5"/>
  </r>
  <r>
    <x v="0"/>
    <x v="0"/>
    <x v="45"/>
    <x v="3"/>
    <s v="Illinois"/>
    <s v="Chicago"/>
    <x v="0"/>
    <n v="0.6"/>
    <n v="4250"/>
    <x v="141"/>
    <n v="1020"/>
    <n v="0.4"/>
  </r>
  <r>
    <x v="0"/>
    <x v="0"/>
    <x v="45"/>
    <x v="3"/>
    <s v="Illinois"/>
    <s v="Chicago"/>
    <x v="1"/>
    <n v="0.5"/>
    <n v="2500"/>
    <x v="142"/>
    <n v="437.5"/>
    <n v="0.35"/>
  </r>
  <r>
    <x v="0"/>
    <x v="0"/>
    <x v="45"/>
    <x v="3"/>
    <s v="Illinois"/>
    <s v="Chicago"/>
    <x v="2"/>
    <n v="0.5"/>
    <n v="1500"/>
    <x v="126"/>
    <n v="262.5"/>
    <n v="0.35"/>
  </r>
  <r>
    <x v="0"/>
    <x v="0"/>
    <x v="45"/>
    <x v="3"/>
    <s v="Illinois"/>
    <s v="Chicago"/>
    <x v="3"/>
    <n v="0.5"/>
    <n v="1250"/>
    <x v="143"/>
    <n v="250"/>
    <n v="0.4"/>
  </r>
  <r>
    <x v="0"/>
    <x v="0"/>
    <x v="45"/>
    <x v="3"/>
    <s v="Illinois"/>
    <s v="Chicago"/>
    <x v="4"/>
    <n v="0.6"/>
    <n v="1250"/>
    <x v="126"/>
    <n v="262.5"/>
    <n v="0.35"/>
  </r>
  <r>
    <x v="0"/>
    <x v="0"/>
    <x v="45"/>
    <x v="3"/>
    <s v="Illinois"/>
    <s v="Chicago"/>
    <x v="5"/>
    <n v="0.64999999999999991"/>
    <n v="2500"/>
    <x v="144"/>
    <n v="812.49999999999989"/>
    <n v="0.5"/>
  </r>
  <r>
    <x v="0"/>
    <x v="0"/>
    <x v="46"/>
    <x v="3"/>
    <s v="Illinois"/>
    <s v="Chicago"/>
    <x v="0"/>
    <n v="0.6"/>
    <n v="4000"/>
    <x v="50"/>
    <n v="960"/>
    <n v="0.4"/>
  </r>
  <r>
    <x v="0"/>
    <x v="0"/>
    <x v="46"/>
    <x v="3"/>
    <s v="Illinois"/>
    <s v="Chicago"/>
    <x v="1"/>
    <n v="0.5"/>
    <n v="2500"/>
    <x v="142"/>
    <n v="437.5"/>
    <n v="0.35"/>
  </r>
  <r>
    <x v="0"/>
    <x v="0"/>
    <x v="46"/>
    <x v="3"/>
    <s v="Illinois"/>
    <s v="Chicago"/>
    <x v="2"/>
    <n v="0.5"/>
    <n v="1950"/>
    <x v="145"/>
    <n v="341.25"/>
    <n v="0.35"/>
  </r>
  <r>
    <x v="0"/>
    <x v="0"/>
    <x v="46"/>
    <x v="3"/>
    <s v="Illinois"/>
    <s v="Chicago"/>
    <x v="3"/>
    <n v="0.5"/>
    <n v="1750"/>
    <x v="131"/>
    <n v="350"/>
    <n v="0.4"/>
  </r>
  <r>
    <x v="0"/>
    <x v="0"/>
    <x v="46"/>
    <x v="3"/>
    <s v="Illinois"/>
    <s v="Chicago"/>
    <x v="4"/>
    <n v="0.6"/>
    <n v="1500"/>
    <x v="124"/>
    <n v="315"/>
    <n v="0.35"/>
  </r>
  <r>
    <x v="0"/>
    <x v="0"/>
    <x v="46"/>
    <x v="3"/>
    <s v="Illinois"/>
    <s v="Chicago"/>
    <x v="5"/>
    <n v="0.64999999999999991"/>
    <n v="2500"/>
    <x v="144"/>
    <n v="812.49999999999989"/>
    <n v="0.5"/>
  </r>
  <r>
    <x v="0"/>
    <x v="0"/>
    <x v="47"/>
    <x v="3"/>
    <s v="Illinois"/>
    <s v="Chicago"/>
    <x v="0"/>
    <n v="0.6"/>
    <n v="5000"/>
    <x v="61"/>
    <n v="1200"/>
    <n v="0.4"/>
  </r>
  <r>
    <x v="0"/>
    <x v="0"/>
    <x v="47"/>
    <x v="3"/>
    <s v="Illinois"/>
    <s v="Chicago"/>
    <x v="1"/>
    <n v="0.5"/>
    <n v="3000"/>
    <x v="146"/>
    <n v="525"/>
    <n v="0.35"/>
  </r>
  <r>
    <x v="0"/>
    <x v="0"/>
    <x v="47"/>
    <x v="3"/>
    <s v="Illinois"/>
    <s v="Chicago"/>
    <x v="2"/>
    <n v="0.5"/>
    <n v="2500"/>
    <x v="142"/>
    <n v="437.5"/>
    <n v="0.35"/>
  </r>
  <r>
    <x v="0"/>
    <x v="0"/>
    <x v="47"/>
    <x v="3"/>
    <s v="Illinois"/>
    <s v="Chicago"/>
    <x v="3"/>
    <n v="0.5"/>
    <n v="2000"/>
    <x v="123"/>
    <n v="400"/>
    <n v="0.4"/>
  </r>
  <r>
    <x v="0"/>
    <x v="0"/>
    <x v="47"/>
    <x v="3"/>
    <s v="Illinois"/>
    <s v="Chicago"/>
    <x v="4"/>
    <n v="0.6"/>
    <n v="2000"/>
    <x v="147"/>
    <n v="420"/>
    <n v="0.35"/>
  </r>
  <r>
    <x v="0"/>
    <x v="0"/>
    <x v="47"/>
    <x v="3"/>
    <s v="Illinois"/>
    <s v="Chicago"/>
    <x v="5"/>
    <n v="0.64999999999999991"/>
    <n v="3000"/>
    <x v="148"/>
    <n v="974.99999999999989"/>
    <n v="0.5"/>
  </r>
  <r>
    <x v="1"/>
    <x v="1"/>
    <x v="12"/>
    <x v="1"/>
    <s v="Texas"/>
    <s v="Dallas"/>
    <x v="0"/>
    <n v="0.2"/>
    <n v="7250"/>
    <x v="149"/>
    <n v="435"/>
    <n v="0.3"/>
  </r>
  <r>
    <x v="1"/>
    <x v="1"/>
    <x v="12"/>
    <x v="1"/>
    <s v="Texas"/>
    <s v="Dallas"/>
    <x v="1"/>
    <n v="0.3"/>
    <n v="7250"/>
    <x v="150"/>
    <n v="652.5"/>
    <n v="0.3"/>
  </r>
  <r>
    <x v="1"/>
    <x v="1"/>
    <x v="12"/>
    <x v="1"/>
    <s v="Texas"/>
    <s v="Dallas"/>
    <x v="2"/>
    <n v="0.3"/>
    <n v="5250"/>
    <x v="151"/>
    <n v="472.5"/>
    <n v="0.3"/>
  </r>
  <r>
    <x v="1"/>
    <x v="1"/>
    <x v="12"/>
    <x v="1"/>
    <s v="Texas"/>
    <s v="Dallas"/>
    <x v="3"/>
    <n v="0.35"/>
    <n v="5250"/>
    <x v="152"/>
    <n v="735"/>
    <n v="0.4"/>
  </r>
  <r>
    <x v="1"/>
    <x v="1"/>
    <x v="12"/>
    <x v="1"/>
    <s v="Texas"/>
    <s v="Dallas"/>
    <x v="4"/>
    <n v="0.4"/>
    <n v="3750"/>
    <x v="146"/>
    <n v="375"/>
    <n v="0.25"/>
  </r>
  <r>
    <x v="1"/>
    <x v="1"/>
    <x v="12"/>
    <x v="1"/>
    <s v="Texas"/>
    <s v="Dallas"/>
    <x v="5"/>
    <n v="0.35"/>
    <n v="5250"/>
    <x v="152"/>
    <n v="826.87499999999989"/>
    <n v="0.45"/>
  </r>
  <r>
    <x v="1"/>
    <x v="1"/>
    <x v="13"/>
    <x v="1"/>
    <s v="Texas"/>
    <s v="Dallas"/>
    <x v="0"/>
    <n v="0.25"/>
    <n v="6750"/>
    <x v="153"/>
    <n v="506.25"/>
    <n v="0.3"/>
  </r>
  <r>
    <x v="1"/>
    <x v="1"/>
    <x v="13"/>
    <x v="1"/>
    <s v="Texas"/>
    <s v="Dallas"/>
    <x v="1"/>
    <n v="0.35"/>
    <n v="6500"/>
    <x v="154"/>
    <n v="682.5"/>
    <n v="0.3"/>
  </r>
  <r>
    <x v="1"/>
    <x v="1"/>
    <x v="13"/>
    <x v="1"/>
    <s v="Texas"/>
    <s v="Dallas"/>
    <x v="2"/>
    <n v="0.35"/>
    <n v="4750"/>
    <x v="155"/>
    <n v="498.75"/>
    <n v="0.3"/>
  </r>
  <r>
    <x v="1"/>
    <x v="1"/>
    <x v="13"/>
    <x v="1"/>
    <s v="Texas"/>
    <s v="Dallas"/>
    <x v="3"/>
    <n v="0.35"/>
    <n v="4250"/>
    <x v="156"/>
    <n v="595"/>
    <n v="0.4"/>
  </r>
  <r>
    <x v="1"/>
    <x v="1"/>
    <x v="13"/>
    <x v="1"/>
    <s v="Texas"/>
    <s v="Dallas"/>
    <x v="4"/>
    <n v="0.4"/>
    <n v="3000"/>
    <x v="147"/>
    <n v="300"/>
    <n v="0.25"/>
  </r>
  <r>
    <x v="1"/>
    <x v="1"/>
    <x v="13"/>
    <x v="1"/>
    <s v="Texas"/>
    <s v="Dallas"/>
    <x v="5"/>
    <n v="0.35"/>
    <n v="5000"/>
    <x v="157"/>
    <n v="787.5"/>
    <n v="0.45"/>
  </r>
  <r>
    <x v="1"/>
    <x v="1"/>
    <x v="14"/>
    <x v="1"/>
    <s v="Texas"/>
    <s v="Dallas"/>
    <x v="0"/>
    <n v="0.3"/>
    <n v="6750"/>
    <x v="158"/>
    <n v="708.75"/>
    <n v="0.35"/>
  </r>
  <r>
    <x v="1"/>
    <x v="1"/>
    <x v="14"/>
    <x v="1"/>
    <s v="Texas"/>
    <s v="Dallas"/>
    <x v="1"/>
    <n v="0.4"/>
    <n v="6750"/>
    <x v="52"/>
    <n v="944.99999999999989"/>
    <n v="0.35"/>
  </r>
  <r>
    <x v="1"/>
    <x v="1"/>
    <x v="14"/>
    <x v="1"/>
    <s v="Texas"/>
    <s v="Dallas"/>
    <x v="2"/>
    <n v="0.3"/>
    <n v="5000"/>
    <x v="146"/>
    <n v="525"/>
    <n v="0.35"/>
  </r>
  <r>
    <x v="1"/>
    <x v="1"/>
    <x v="14"/>
    <x v="1"/>
    <s v="Texas"/>
    <s v="Dallas"/>
    <x v="3"/>
    <n v="0.35000000000000003"/>
    <n v="4000"/>
    <x v="159"/>
    <n v="630.00000000000011"/>
    <n v="0.45"/>
  </r>
  <r>
    <x v="1"/>
    <x v="1"/>
    <x v="14"/>
    <x v="1"/>
    <s v="Texas"/>
    <s v="Dallas"/>
    <x v="4"/>
    <n v="0.4"/>
    <n v="3000"/>
    <x v="147"/>
    <n v="360"/>
    <n v="0.3"/>
  </r>
  <r>
    <x v="1"/>
    <x v="1"/>
    <x v="14"/>
    <x v="1"/>
    <s v="Texas"/>
    <s v="Dallas"/>
    <x v="5"/>
    <n v="0.35000000000000003"/>
    <n v="4500"/>
    <x v="160"/>
    <n v="787.50000000000011"/>
    <n v="0.5"/>
  </r>
  <r>
    <x v="1"/>
    <x v="1"/>
    <x v="15"/>
    <x v="1"/>
    <s v="Texas"/>
    <s v="Dallas"/>
    <x v="0"/>
    <n v="0.19999999999999998"/>
    <n v="7000"/>
    <x v="161"/>
    <n v="489.99999999999989"/>
    <n v="0.35"/>
  </r>
  <r>
    <x v="1"/>
    <x v="1"/>
    <x v="15"/>
    <x v="1"/>
    <s v="Texas"/>
    <s v="Dallas"/>
    <x v="1"/>
    <n v="0.30000000000000004"/>
    <n v="7000"/>
    <x v="162"/>
    <n v="735.00000000000011"/>
    <n v="0.35"/>
  </r>
  <r>
    <x v="1"/>
    <x v="1"/>
    <x v="15"/>
    <x v="1"/>
    <s v="Texas"/>
    <s v="Dallas"/>
    <x v="2"/>
    <n v="0.24999999999999997"/>
    <n v="5250"/>
    <x v="163"/>
    <n v="459.37499999999989"/>
    <n v="0.35"/>
  </r>
  <r>
    <x v="1"/>
    <x v="1"/>
    <x v="15"/>
    <x v="1"/>
    <s v="Texas"/>
    <s v="Dallas"/>
    <x v="3"/>
    <n v="0.30000000000000004"/>
    <n v="4250"/>
    <x v="164"/>
    <n v="573.75000000000011"/>
    <n v="0.45"/>
  </r>
  <r>
    <x v="1"/>
    <x v="1"/>
    <x v="15"/>
    <x v="1"/>
    <s v="Texas"/>
    <s v="Dallas"/>
    <x v="4"/>
    <n v="0.35"/>
    <n v="3250"/>
    <x v="165"/>
    <n v="341.25"/>
    <n v="0.3"/>
  </r>
  <r>
    <x v="1"/>
    <x v="1"/>
    <x v="15"/>
    <x v="1"/>
    <s v="Texas"/>
    <s v="Dallas"/>
    <x v="5"/>
    <n v="0.30000000000000004"/>
    <n v="6000"/>
    <x v="166"/>
    <n v="900.00000000000011"/>
    <n v="0.5"/>
  </r>
  <r>
    <x v="1"/>
    <x v="1"/>
    <x v="16"/>
    <x v="1"/>
    <s v="Texas"/>
    <s v="Dallas"/>
    <x v="0"/>
    <n v="0.19999999999999998"/>
    <n v="7500"/>
    <x v="167"/>
    <n v="524.99999999999989"/>
    <n v="0.35"/>
  </r>
  <r>
    <x v="1"/>
    <x v="1"/>
    <x v="16"/>
    <x v="1"/>
    <s v="Texas"/>
    <s v="Dallas"/>
    <x v="1"/>
    <n v="0.30000000000000004"/>
    <n v="7750"/>
    <x v="168"/>
    <n v="813.75000000000011"/>
    <n v="0.35"/>
  </r>
  <r>
    <x v="1"/>
    <x v="1"/>
    <x v="16"/>
    <x v="1"/>
    <s v="Texas"/>
    <s v="Dallas"/>
    <x v="2"/>
    <n v="0.24999999999999997"/>
    <n v="6250"/>
    <x v="169"/>
    <n v="546.87499999999989"/>
    <n v="0.35"/>
  </r>
  <r>
    <x v="1"/>
    <x v="1"/>
    <x v="16"/>
    <x v="1"/>
    <s v="Texas"/>
    <s v="Dallas"/>
    <x v="3"/>
    <n v="0.35000000000000003"/>
    <n v="5500"/>
    <x v="136"/>
    <n v="866.25000000000011"/>
    <n v="0.45"/>
  </r>
  <r>
    <x v="1"/>
    <x v="1"/>
    <x v="16"/>
    <x v="1"/>
    <s v="Texas"/>
    <s v="Dallas"/>
    <x v="4"/>
    <n v="0.5"/>
    <n v="4500"/>
    <x v="39"/>
    <n v="675"/>
    <n v="0.3"/>
  </r>
  <r>
    <x v="1"/>
    <x v="1"/>
    <x v="16"/>
    <x v="1"/>
    <s v="Texas"/>
    <s v="Dallas"/>
    <x v="5"/>
    <n v="0.45"/>
    <n v="8000"/>
    <x v="11"/>
    <n v="1800"/>
    <n v="0.5"/>
  </r>
  <r>
    <x v="1"/>
    <x v="1"/>
    <x v="17"/>
    <x v="1"/>
    <s v="Texas"/>
    <s v="Dallas"/>
    <x v="0"/>
    <n v="0.45"/>
    <n v="8000"/>
    <x v="11"/>
    <n v="1260"/>
    <n v="0.35"/>
  </r>
  <r>
    <x v="1"/>
    <x v="1"/>
    <x v="17"/>
    <x v="1"/>
    <s v="Texas"/>
    <s v="Dallas"/>
    <x v="1"/>
    <n v="0.5"/>
    <n v="8000"/>
    <x v="2"/>
    <n v="1400"/>
    <n v="0.35"/>
  </r>
  <r>
    <x v="1"/>
    <x v="1"/>
    <x v="17"/>
    <x v="1"/>
    <s v="Texas"/>
    <s v="Dallas"/>
    <x v="2"/>
    <n v="0.45"/>
    <n v="6500"/>
    <x v="62"/>
    <n v="1023.7499999999999"/>
    <n v="0.35"/>
  </r>
  <r>
    <x v="1"/>
    <x v="1"/>
    <x v="17"/>
    <x v="1"/>
    <s v="Texas"/>
    <s v="Dallas"/>
    <x v="3"/>
    <n v="0.45"/>
    <n v="6000"/>
    <x v="52"/>
    <n v="1215"/>
    <n v="0.45"/>
  </r>
  <r>
    <x v="1"/>
    <x v="1"/>
    <x v="17"/>
    <x v="1"/>
    <s v="Texas"/>
    <s v="Dallas"/>
    <x v="4"/>
    <n v="0.5"/>
    <n v="5000"/>
    <x v="54"/>
    <n v="750"/>
    <n v="0.3"/>
  </r>
  <r>
    <x v="1"/>
    <x v="1"/>
    <x v="17"/>
    <x v="1"/>
    <s v="Texas"/>
    <s v="Dallas"/>
    <x v="5"/>
    <n v="0.55000000000000004"/>
    <n v="8750"/>
    <x v="30"/>
    <n v="2406.25"/>
    <n v="0.5"/>
  </r>
  <r>
    <x v="1"/>
    <x v="1"/>
    <x v="18"/>
    <x v="1"/>
    <s v="Texas"/>
    <s v="Dallas"/>
    <x v="0"/>
    <n v="0.45"/>
    <n v="8250"/>
    <x v="8"/>
    <n v="1484.9999999999998"/>
    <n v="0.39999999999999997"/>
  </r>
  <r>
    <x v="1"/>
    <x v="1"/>
    <x v="18"/>
    <x v="1"/>
    <s v="Texas"/>
    <s v="Dallas"/>
    <x v="1"/>
    <n v="0.5"/>
    <n v="8250"/>
    <x v="71"/>
    <n v="1649.9999999999998"/>
    <n v="0.39999999999999997"/>
  </r>
  <r>
    <x v="1"/>
    <x v="1"/>
    <x v="18"/>
    <x v="1"/>
    <s v="Texas"/>
    <s v="Dallas"/>
    <x v="2"/>
    <n v="0.45"/>
    <n v="9750"/>
    <x v="83"/>
    <n v="1754.9999999999998"/>
    <n v="0.39999999999999997"/>
  </r>
  <r>
    <x v="1"/>
    <x v="1"/>
    <x v="18"/>
    <x v="1"/>
    <s v="Texas"/>
    <s v="Dallas"/>
    <x v="3"/>
    <n v="0.45"/>
    <n v="5750"/>
    <x v="70"/>
    <n v="1293.75"/>
    <n v="0.5"/>
  </r>
  <r>
    <x v="1"/>
    <x v="1"/>
    <x v="18"/>
    <x v="1"/>
    <s v="Texas"/>
    <s v="Dallas"/>
    <x v="4"/>
    <n v="0.5"/>
    <n v="5750"/>
    <x v="79"/>
    <n v="1006.2499999999999"/>
    <n v="0.35"/>
  </r>
  <r>
    <x v="1"/>
    <x v="1"/>
    <x v="18"/>
    <x v="1"/>
    <s v="Texas"/>
    <s v="Dallas"/>
    <x v="5"/>
    <n v="0.6"/>
    <n v="8500"/>
    <x v="12"/>
    <n v="2805"/>
    <n v="0.55000000000000004"/>
  </r>
  <r>
    <x v="1"/>
    <x v="1"/>
    <x v="19"/>
    <x v="1"/>
    <s v="Texas"/>
    <s v="Dallas"/>
    <x v="0"/>
    <n v="0.5"/>
    <n v="8000"/>
    <x v="2"/>
    <n v="1599.9999999999998"/>
    <n v="0.39999999999999997"/>
  </r>
  <r>
    <x v="1"/>
    <x v="1"/>
    <x v="19"/>
    <x v="1"/>
    <s v="Texas"/>
    <s v="Dallas"/>
    <x v="1"/>
    <n v="0.55000000000000004"/>
    <n v="8000"/>
    <x v="63"/>
    <n v="1759.9999999999998"/>
    <n v="0.39999999999999997"/>
  </r>
  <r>
    <x v="1"/>
    <x v="1"/>
    <x v="19"/>
    <x v="1"/>
    <s v="Texas"/>
    <s v="Dallas"/>
    <x v="2"/>
    <n v="0.5"/>
    <n v="9750"/>
    <x v="64"/>
    <n v="1949.9999999999998"/>
    <n v="0.39999999999999997"/>
  </r>
  <r>
    <x v="1"/>
    <x v="1"/>
    <x v="19"/>
    <x v="1"/>
    <s v="Texas"/>
    <s v="Dallas"/>
    <x v="3"/>
    <n v="0.5"/>
    <n v="5250"/>
    <x v="48"/>
    <n v="1312.5"/>
    <n v="0.5"/>
  </r>
  <r>
    <x v="1"/>
    <x v="1"/>
    <x v="19"/>
    <x v="1"/>
    <s v="Texas"/>
    <s v="Dallas"/>
    <x v="4"/>
    <n v="0.55000000000000004"/>
    <n v="5250"/>
    <x v="170"/>
    <n v="1010.6250000000001"/>
    <n v="0.35"/>
  </r>
  <r>
    <x v="1"/>
    <x v="1"/>
    <x v="19"/>
    <x v="1"/>
    <s v="Texas"/>
    <s v="Dallas"/>
    <x v="5"/>
    <n v="0.6"/>
    <n v="7750"/>
    <x v="171"/>
    <n v="2557.5"/>
    <n v="0.55000000000000004"/>
  </r>
  <r>
    <x v="1"/>
    <x v="1"/>
    <x v="20"/>
    <x v="1"/>
    <s v="Texas"/>
    <s v="Dallas"/>
    <x v="0"/>
    <n v="0.55000000000000004"/>
    <n v="7250"/>
    <x v="101"/>
    <n v="1595"/>
    <n v="0.39999999999999997"/>
  </r>
  <r>
    <x v="1"/>
    <x v="1"/>
    <x v="20"/>
    <x v="1"/>
    <s v="Texas"/>
    <s v="Dallas"/>
    <x v="1"/>
    <n v="0.55000000000000004"/>
    <n v="6750"/>
    <x v="105"/>
    <n v="1485"/>
    <n v="0.39999999999999997"/>
  </r>
  <r>
    <x v="1"/>
    <x v="1"/>
    <x v="20"/>
    <x v="1"/>
    <s v="Texas"/>
    <s v="Dallas"/>
    <x v="2"/>
    <n v="0.6"/>
    <n v="7250"/>
    <x v="92"/>
    <n v="1739.9999999999998"/>
    <n v="0.39999999999999997"/>
  </r>
  <r>
    <x v="1"/>
    <x v="1"/>
    <x v="20"/>
    <x v="1"/>
    <s v="Texas"/>
    <s v="Dallas"/>
    <x v="3"/>
    <n v="0.6"/>
    <n v="4500"/>
    <x v="52"/>
    <n v="1350"/>
    <n v="0.5"/>
  </r>
  <r>
    <x v="1"/>
    <x v="1"/>
    <x v="20"/>
    <x v="1"/>
    <s v="Texas"/>
    <s v="Dallas"/>
    <x v="4"/>
    <n v="0.55000000000000004"/>
    <n v="4500"/>
    <x v="111"/>
    <n v="866.25"/>
    <n v="0.35"/>
  </r>
  <r>
    <x v="1"/>
    <x v="1"/>
    <x v="20"/>
    <x v="1"/>
    <s v="Texas"/>
    <s v="Dallas"/>
    <x v="5"/>
    <n v="0.5"/>
    <n v="6750"/>
    <x v="73"/>
    <n v="1856.2500000000002"/>
    <n v="0.55000000000000004"/>
  </r>
  <r>
    <x v="1"/>
    <x v="1"/>
    <x v="21"/>
    <x v="1"/>
    <s v="Texas"/>
    <s v="Dallas"/>
    <x v="0"/>
    <n v="0.4"/>
    <n v="6250"/>
    <x v="54"/>
    <n v="999.99999999999989"/>
    <n v="0.39999999999999997"/>
  </r>
  <r>
    <x v="1"/>
    <x v="1"/>
    <x v="21"/>
    <x v="1"/>
    <s v="Texas"/>
    <s v="Dallas"/>
    <x v="1"/>
    <n v="0.4"/>
    <n v="6250"/>
    <x v="54"/>
    <n v="999.99999999999989"/>
    <n v="0.39999999999999997"/>
  </r>
  <r>
    <x v="1"/>
    <x v="1"/>
    <x v="21"/>
    <x v="1"/>
    <s v="Texas"/>
    <s v="Dallas"/>
    <x v="2"/>
    <n v="0.45"/>
    <n v="5750"/>
    <x v="70"/>
    <n v="1035"/>
    <n v="0.39999999999999997"/>
  </r>
  <r>
    <x v="1"/>
    <x v="1"/>
    <x v="21"/>
    <x v="1"/>
    <s v="Texas"/>
    <s v="Dallas"/>
    <x v="3"/>
    <n v="0.45"/>
    <n v="4250"/>
    <x v="172"/>
    <n v="956.25"/>
    <n v="0.5"/>
  </r>
  <r>
    <x v="1"/>
    <x v="1"/>
    <x v="21"/>
    <x v="1"/>
    <s v="Texas"/>
    <s v="Dallas"/>
    <x v="4"/>
    <n v="0.4"/>
    <n v="4000"/>
    <x v="173"/>
    <n v="560"/>
    <n v="0.35"/>
  </r>
  <r>
    <x v="1"/>
    <x v="1"/>
    <x v="21"/>
    <x v="1"/>
    <s v="Texas"/>
    <s v="Dallas"/>
    <x v="5"/>
    <n v="0.5"/>
    <n v="5750"/>
    <x v="79"/>
    <n v="1581.2500000000002"/>
    <n v="0.55000000000000004"/>
  </r>
  <r>
    <x v="1"/>
    <x v="1"/>
    <x v="22"/>
    <x v="1"/>
    <s v="Texas"/>
    <s v="Dallas"/>
    <x v="0"/>
    <n v="0.4"/>
    <n v="7250"/>
    <x v="174"/>
    <n v="1160"/>
    <n v="0.39999999999999997"/>
  </r>
  <r>
    <x v="1"/>
    <x v="1"/>
    <x v="22"/>
    <x v="1"/>
    <s v="Texas"/>
    <s v="Dallas"/>
    <x v="1"/>
    <n v="0.4"/>
    <n v="7250"/>
    <x v="174"/>
    <n v="1160"/>
    <n v="0.39999999999999997"/>
  </r>
  <r>
    <x v="1"/>
    <x v="1"/>
    <x v="22"/>
    <x v="1"/>
    <s v="Texas"/>
    <s v="Dallas"/>
    <x v="2"/>
    <n v="0.65"/>
    <n v="6500"/>
    <x v="106"/>
    <n v="1689.9999999999998"/>
    <n v="0.39999999999999997"/>
  </r>
  <r>
    <x v="1"/>
    <x v="1"/>
    <x v="22"/>
    <x v="1"/>
    <s v="Texas"/>
    <s v="Dallas"/>
    <x v="3"/>
    <n v="0.65"/>
    <n v="5000"/>
    <x v="82"/>
    <n v="1625"/>
    <n v="0.5"/>
  </r>
  <r>
    <x v="1"/>
    <x v="1"/>
    <x v="22"/>
    <x v="1"/>
    <s v="Texas"/>
    <s v="Dallas"/>
    <x v="4"/>
    <n v="0.6"/>
    <n v="4750"/>
    <x v="175"/>
    <n v="997.49999999999989"/>
    <n v="0.35"/>
  </r>
  <r>
    <x v="1"/>
    <x v="1"/>
    <x v="22"/>
    <x v="1"/>
    <s v="Texas"/>
    <s v="Dallas"/>
    <x v="5"/>
    <n v="0.70000000000000007"/>
    <n v="6750"/>
    <x v="176"/>
    <n v="2598.75"/>
    <n v="0.55000000000000004"/>
  </r>
  <r>
    <x v="1"/>
    <x v="1"/>
    <x v="23"/>
    <x v="1"/>
    <s v="Texas"/>
    <s v="Dallas"/>
    <x v="0"/>
    <n v="0.6"/>
    <n v="8250"/>
    <x v="14"/>
    <n v="1979.9999999999998"/>
    <n v="0.39999999999999997"/>
  </r>
  <r>
    <x v="1"/>
    <x v="1"/>
    <x v="23"/>
    <x v="1"/>
    <s v="Texas"/>
    <s v="Dallas"/>
    <x v="1"/>
    <n v="0.6"/>
    <n v="8250"/>
    <x v="14"/>
    <n v="1979.9999999999998"/>
    <n v="0.39999999999999997"/>
  </r>
  <r>
    <x v="1"/>
    <x v="1"/>
    <x v="23"/>
    <x v="1"/>
    <s v="Texas"/>
    <s v="Dallas"/>
    <x v="2"/>
    <n v="0.65"/>
    <n v="7250"/>
    <x v="84"/>
    <n v="1884.9999999999998"/>
    <n v="0.39999999999999997"/>
  </r>
  <r>
    <x v="1"/>
    <x v="1"/>
    <x v="23"/>
    <x v="1"/>
    <s v="Texas"/>
    <s v="Dallas"/>
    <x v="3"/>
    <n v="0.65"/>
    <n v="5750"/>
    <x v="90"/>
    <n v="1868.75"/>
    <n v="0.5"/>
  </r>
  <r>
    <x v="1"/>
    <x v="1"/>
    <x v="23"/>
    <x v="1"/>
    <s v="Texas"/>
    <s v="Dallas"/>
    <x v="4"/>
    <n v="0.6"/>
    <n v="5250"/>
    <x v="40"/>
    <n v="1102.5"/>
    <n v="0.35"/>
  </r>
  <r>
    <x v="1"/>
    <x v="1"/>
    <x v="23"/>
    <x v="1"/>
    <s v="Texas"/>
    <s v="Dallas"/>
    <x v="5"/>
    <n v="0.70000000000000007"/>
    <n v="7750"/>
    <x v="102"/>
    <n v="2983.7500000000009"/>
    <n v="0.55000000000000004"/>
  </r>
  <r>
    <x v="0"/>
    <x v="0"/>
    <x v="48"/>
    <x v="0"/>
    <s v="Pennsylvania"/>
    <s v="Philadelphia"/>
    <x v="0"/>
    <n v="0.45"/>
    <n v="4250"/>
    <x v="172"/>
    <n v="1051.875"/>
    <n v="0.55000000000000004"/>
  </r>
  <r>
    <x v="0"/>
    <x v="0"/>
    <x v="48"/>
    <x v="0"/>
    <s v="Pennsylvania"/>
    <s v="Philadelphia"/>
    <x v="1"/>
    <n v="0.45"/>
    <n v="2250"/>
    <x v="177"/>
    <n v="354.375"/>
    <n v="0.35"/>
  </r>
  <r>
    <x v="0"/>
    <x v="0"/>
    <x v="48"/>
    <x v="0"/>
    <s v="Pennsylvania"/>
    <s v="Philadelphia"/>
    <x v="2"/>
    <n v="0.35000000000000003"/>
    <n v="2250"/>
    <x v="121"/>
    <n v="315"/>
    <n v="0.39999999999999997"/>
  </r>
  <r>
    <x v="0"/>
    <x v="0"/>
    <x v="48"/>
    <x v="0"/>
    <s v="Pennsylvania"/>
    <s v="Philadelphia"/>
    <x v="3"/>
    <n v="0.4"/>
    <n v="750"/>
    <x v="178"/>
    <n v="119.99999999999999"/>
    <n v="0.39999999999999997"/>
  </r>
  <r>
    <x v="0"/>
    <x v="0"/>
    <x v="48"/>
    <x v="0"/>
    <s v="Pennsylvania"/>
    <s v="Philadelphia"/>
    <x v="4"/>
    <n v="0.54999999999999993"/>
    <n v="1250"/>
    <x v="179"/>
    <n v="240.62499999999994"/>
    <n v="0.35"/>
  </r>
  <r>
    <x v="0"/>
    <x v="0"/>
    <x v="48"/>
    <x v="0"/>
    <s v="Pennsylvania"/>
    <s v="Philadelphia"/>
    <x v="5"/>
    <n v="0.45"/>
    <n v="2250"/>
    <x v="177"/>
    <n v="303.75"/>
    <n v="0.3"/>
  </r>
  <r>
    <x v="0"/>
    <x v="0"/>
    <x v="49"/>
    <x v="0"/>
    <s v="Pennsylvania"/>
    <s v="Philadelphia"/>
    <x v="0"/>
    <n v="0.45"/>
    <n v="4750"/>
    <x v="115"/>
    <n v="1175.625"/>
    <n v="0.55000000000000004"/>
  </r>
  <r>
    <x v="0"/>
    <x v="0"/>
    <x v="49"/>
    <x v="0"/>
    <s v="Pennsylvania"/>
    <s v="Philadelphia"/>
    <x v="1"/>
    <n v="0.45"/>
    <n v="1250"/>
    <x v="180"/>
    <n v="196.875"/>
    <n v="0.35"/>
  </r>
  <r>
    <x v="0"/>
    <x v="0"/>
    <x v="49"/>
    <x v="0"/>
    <s v="Pennsylvania"/>
    <s v="Philadelphia"/>
    <x v="2"/>
    <n v="0.35000000000000003"/>
    <n v="1750"/>
    <x v="181"/>
    <n v="245.00000000000003"/>
    <n v="0.39999999999999997"/>
  </r>
  <r>
    <x v="0"/>
    <x v="0"/>
    <x v="49"/>
    <x v="0"/>
    <s v="Pennsylvania"/>
    <s v="Philadelphia"/>
    <x v="3"/>
    <n v="0.4"/>
    <n v="500"/>
    <x v="182"/>
    <n v="80"/>
    <n v="0.39999999999999997"/>
  </r>
  <r>
    <x v="0"/>
    <x v="0"/>
    <x v="49"/>
    <x v="0"/>
    <s v="Pennsylvania"/>
    <s v="Philadelphia"/>
    <x v="4"/>
    <n v="0.54999999999999993"/>
    <n v="1250"/>
    <x v="179"/>
    <n v="240.62499999999994"/>
    <n v="0.35"/>
  </r>
  <r>
    <x v="0"/>
    <x v="0"/>
    <x v="49"/>
    <x v="0"/>
    <s v="Pennsylvania"/>
    <s v="Philadelphia"/>
    <x v="5"/>
    <n v="0.45"/>
    <n v="2250"/>
    <x v="177"/>
    <n v="303.75"/>
    <n v="0.3"/>
  </r>
  <r>
    <x v="0"/>
    <x v="0"/>
    <x v="14"/>
    <x v="0"/>
    <s v="Pennsylvania"/>
    <s v="Philadelphia"/>
    <x v="0"/>
    <n v="0.5"/>
    <n v="4450"/>
    <x v="183"/>
    <n v="1223.75"/>
    <n v="0.55000000000000004"/>
  </r>
  <r>
    <x v="0"/>
    <x v="0"/>
    <x v="14"/>
    <x v="0"/>
    <s v="Pennsylvania"/>
    <s v="Philadelphia"/>
    <x v="1"/>
    <n v="0.5"/>
    <n v="1500"/>
    <x v="126"/>
    <n v="262.5"/>
    <n v="0.35"/>
  </r>
  <r>
    <x v="0"/>
    <x v="0"/>
    <x v="14"/>
    <x v="0"/>
    <s v="Pennsylvania"/>
    <s v="Philadelphia"/>
    <x v="2"/>
    <n v="0.4"/>
    <n v="1750"/>
    <x v="135"/>
    <n v="280"/>
    <n v="0.39999999999999997"/>
  </r>
  <r>
    <x v="0"/>
    <x v="0"/>
    <x v="14"/>
    <x v="0"/>
    <s v="Pennsylvania"/>
    <s v="Philadelphia"/>
    <x v="3"/>
    <n v="0.45"/>
    <n v="250"/>
    <x v="184"/>
    <n v="44.999999999999993"/>
    <n v="0.39999999999999997"/>
  </r>
  <r>
    <x v="0"/>
    <x v="0"/>
    <x v="14"/>
    <x v="0"/>
    <s v="Pennsylvania"/>
    <s v="Philadelphia"/>
    <x v="4"/>
    <n v="0.6"/>
    <n v="750"/>
    <x v="185"/>
    <n v="135"/>
    <n v="0.3"/>
  </r>
  <r>
    <x v="0"/>
    <x v="0"/>
    <x v="14"/>
    <x v="0"/>
    <s v="Pennsylvania"/>
    <s v="Philadelphia"/>
    <x v="5"/>
    <n v="0.5"/>
    <n v="1750"/>
    <x v="131"/>
    <n v="218.75"/>
    <n v="0.25"/>
  </r>
  <r>
    <x v="0"/>
    <x v="0"/>
    <x v="50"/>
    <x v="0"/>
    <s v="Pennsylvania"/>
    <s v="Philadelphia"/>
    <x v="0"/>
    <n v="0.5"/>
    <n v="4500"/>
    <x v="39"/>
    <n v="1125"/>
    <n v="0.5"/>
  </r>
  <r>
    <x v="0"/>
    <x v="0"/>
    <x v="50"/>
    <x v="0"/>
    <s v="Pennsylvania"/>
    <s v="Philadelphia"/>
    <x v="1"/>
    <n v="0.5"/>
    <n v="1500"/>
    <x v="126"/>
    <n v="225"/>
    <n v="0.3"/>
  </r>
  <r>
    <x v="0"/>
    <x v="0"/>
    <x v="50"/>
    <x v="0"/>
    <s v="Pennsylvania"/>
    <s v="Philadelphia"/>
    <x v="2"/>
    <n v="0.4"/>
    <n v="1500"/>
    <x v="128"/>
    <n v="210"/>
    <n v="0.35"/>
  </r>
  <r>
    <x v="0"/>
    <x v="0"/>
    <x v="50"/>
    <x v="0"/>
    <s v="Pennsylvania"/>
    <s v="Philadelphia"/>
    <x v="3"/>
    <n v="0.45"/>
    <n v="750"/>
    <x v="125"/>
    <n v="118.12499999999999"/>
    <n v="0.35"/>
  </r>
  <r>
    <x v="0"/>
    <x v="0"/>
    <x v="50"/>
    <x v="0"/>
    <s v="Pennsylvania"/>
    <s v="Philadelphia"/>
    <x v="4"/>
    <n v="0.6"/>
    <n v="750"/>
    <x v="185"/>
    <n v="135"/>
    <n v="0.3"/>
  </r>
  <r>
    <x v="0"/>
    <x v="0"/>
    <x v="50"/>
    <x v="0"/>
    <s v="Pennsylvania"/>
    <s v="Philadelphia"/>
    <x v="5"/>
    <n v="0.5"/>
    <n v="2000"/>
    <x v="123"/>
    <n v="250"/>
    <n v="0.25"/>
  </r>
  <r>
    <x v="0"/>
    <x v="0"/>
    <x v="51"/>
    <x v="0"/>
    <s v="Pennsylvania"/>
    <s v="Philadelphia"/>
    <x v="0"/>
    <n v="0.6"/>
    <n v="4700"/>
    <x v="186"/>
    <n v="1410"/>
    <n v="0.5"/>
  </r>
  <r>
    <x v="0"/>
    <x v="0"/>
    <x v="51"/>
    <x v="0"/>
    <s v="Pennsylvania"/>
    <s v="Philadelphia"/>
    <x v="1"/>
    <n v="0.60000000000000009"/>
    <n v="1750"/>
    <x v="187"/>
    <n v="315.00000000000006"/>
    <n v="0.3"/>
  </r>
  <r>
    <x v="0"/>
    <x v="0"/>
    <x v="51"/>
    <x v="0"/>
    <s v="Pennsylvania"/>
    <s v="Philadelphia"/>
    <x v="2"/>
    <n v="0.55000000000000004"/>
    <n v="1500"/>
    <x v="188"/>
    <n v="288.75"/>
    <n v="0.35"/>
  </r>
  <r>
    <x v="0"/>
    <x v="0"/>
    <x v="51"/>
    <x v="0"/>
    <s v="Pennsylvania"/>
    <s v="Philadelphia"/>
    <x v="3"/>
    <n v="0.55000000000000004"/>
    <n v="1000"/>
    <x v="189"/>
    <n v="192.5"/>
    <n v="0.35"/>
  </r>
  <r>
    <x v="0"/>
    <x v="0"/>
    <x v="51"/>
    <x v="0"/>
    <s v="Pennsylvania"/>
    <s v="Philadelphia"/>
    <x v="4"/>
    <n v="0.65"/>
    <n v="1250"/>
    <x v="190"/>
    <n v="243.75"/>
    <n v="0.3"/>
  </r>
  <r>
    <x v="0"/>
    <x v="0"/>
    <x v="51"/>
    <x v="0"/>
    <s v="Pennsylvania"/>
    <s v="Philadelphia"/>
    <x v="5"/>
    <n v="0.70000000000000007"/>
    <n v="2500"/>
    <x v="191"/>
    <n v="525"/>
    <n v="0.3"/>
  </r>
  <r>
    <x v="0"/>
    <x v="0"/>
    <x v="52"/>
    <x v="0"/>
    <s v="Pennsylvania"/>
    <s v="Philadelphia"/>
    <x v="0"/>
    <n v="0.65"/>
    <n v="5000"/>
    <x v="82"/>
    <n v="1787.5000000000002"/>
    <n v="0.55000000000000004"/>
  </r>
  <r>
    <x v="0"/>
    <x v="0"/>
    <x v="52"/>
    <x v="0"/>
    <s v="Pennsylvania"/>
    <s v="Philadelphia"/>
    <x v="1"/>
    <n v="0.60000000000000009"/>
    <n v="2500"/>
    <x v="192"/>
    <n v="525"/>
    <n v="0.35"/>
  </r>
  <r>
    <x v="0"/>
    <x v="0"/>
    <x v="52"/>
    <x v="0"/>
    <s v="Pennsylvania"/>
    <s v="Philadelphia"/>
    <x v="2"/>
    <n v="0.55000000000000004"/>
    <n v="1750"/>
    <x v="117"/>
    <n v="385"/>
    <n v="0.39999999999999997"/>
  </r>
  <r>
    <x v="0"/>
    <x v="0"/>
    <x v="52"/>
    <x v="0"/>
    <s v="Pennsylvania"/>
    <s v="Philadelphia"/>
    <x v="3"/>
    <n v="0.55000000000000004"/>
    <n v="1500"/>
    <x v="188"/>
    <n v="330"/>
    <n v="0.39999999999999997"/>
  </r>
  <r>
    <x v="0"/>
    <x v="0"/>
    <x v="52"/>
    <x v="0"/>
    <s v="Pennsylvania"/>
    <s v="Philadelphia"/>
    <x v="4"/>
    <n v="0.65"/>
    <n v="1500"/>
    <x v="145"/>
    <n v="341.25"/>
    <n v="0.35"/>
  </r>
  <r>
    <x v="0"/>
    <x v="0"/>
    <x v="52"/>
    <x v="0"/>
    <s v="Pennsylvania"/>
    <s v="Philadelphia"/>
    <x v="5"/>
    <n v="0.70000000000000007"/>
    <n v="3000"/>
    <x v="193"/>
    <n v="630"/>
    <n v="0.3"/>
  </r>
  <r>
    <x v="0"/>
    <x v="0"/>
    <x v="18"/>
    <x v="0"/>
    <s v="Pennsylvania"/>
    <s v="Philadelphia"/>
    <x v="0"/>
    <n v="0.65"/>
    <n v="5000"/>
    <x v="82"/>
    <n v="1787.5000000000002"/>
    <n v="0.55000000000000004"/>
  </r>
  <r>
    <x v="0"/>
    <x v="0"/>
    <x v="18"/>
    <x v="0"/>
    <s v="Pennsylvania"/>
    <s v="Philadelphia"/>
    <x v="1"/>
    <n v="0.60000000000000009"/>
    <n v="3000"/>
    <x v="166"/>
    <n v="630"/>
    <n v="0.35"/>
  </r>
  <r>
    <x v="0"/>
    <x v="0"/>
    <x v="18"/>
    <x v="0"/>
    <s v="Pennsylvania"/>
    <s v="Philadelphia"/>
    <x v="2"/>
    <n v="0.55000000000000004"/>
    <n v="2250"/>
    <x v="116"/>
    <n v="494.99999999999994"/>
    <n v="0.39999999999999997"/>
  </r>
  <r>
    <x v="0"/>
    <x v="0"/>
    <x v="18"/>
    <x v="0"/>
    <s v="Pennsylvania"/>
    <s v="Philadelphia"/>
    <x v="3"/>
    <n v="0.55000000000000004"/>
    <n v="1750"/>
    <x v="117"/>
    <n v="385"/>
    <n v="0.39999999999999997"/>
  </r>
  <r>
    <x v="0"/>
    <x v="0"/>
    <x v="18"/>
    <x v="0"/>
    <s v="Pennsylvania"/>
    <s v="Philadelphia"/>
    <x v="4"/>
    <n v="0.65"/>
    <n v="2000"/>
    <x v="194"/>
    <n v="454.99999999999994"/>
    <n v="0.35"/>
  </r>
  <r>
    <x v="0"/>
    <x v="0"/>
    <x v="18"/>
    <x v="0"/>
    <s v="Pennsylvania"/>
    <s v="Philadelphia"/>
    <x v="5"/>
    <n v="0.70000000000000007"/>
    <n v="3750"/>
    <x v="195"/>
    <n v="787.50000000000011"/>
    <n v="0.3"/>
  </r>
  <r>
    <x v="0"/>
    <x v="0"/>
    <x v="53"/>
    <x v="0"/>
    <s v="Pennsylvania"/>
    <s v="Philadelphia"/>
    <x v="0"/>
    <n v="0.65"/>
    <n v="5250"/>
    <x v="85"/>
    <n v="1876.8750000000002"/>
    <n v="0.55000000000000004"/>
  </r>
  <r>
    <x v="0"/>
    <x v="0"/>
    <x v="53"/>
    <x v="0"/>
    <s v="Pennsylvania"/>
    <s v="Philadelphia"/>
    <x v="1"/>
    <n v="0.60000000000000009"/>
    <n v="3000"/>
    <x v="166"/>
    <n v="630"/>
    <n v="0.35"/>
  </r>
  <r>
    <x v="0"/>
    <x v="0"/>
    <x v="53"/>
    <x v="0"/>
    <s v="Pennsylvania"/>
    <s v="Philadelphia"/>
    <x v="2"/>
    <n v="0.55000000000000004"/>
    <n v="2250"/>
    <x v="116"/>
    <n v="494.99999999999994"/>
    <n v="0.39999999999999997"/>
  </r>
  <r>
    <x v="0"/>
    <x v="0"/>
    <x v="53"/>
    <x v="0"/>
    <s v="Pennsylvania"/>
    <s v="Philadelphia"/>
    <x v="3"/>
    <n v="0.55000000000000004"/>
    <n v="2000"/>
    <x v="130"/>
    <n v="439.99999999999994"/>
    <n v="0.39999999999999997"/>
  </r>
  <r>
    <x v="0"/>
    <x v="0"/>
    <x v="53"/>
    <x v="0"/>
    <s v="Pennsylvania"/>
    <s v="Philadelphia"/>
    <x v="4"/>
    <n v="0.65"/>
    <n v="1750"/>
    <x v="165"/>
    <n v="398.125"/>
    <n v="0.35"/>
  </r>
  <r>
    <x v="0"/>
    <x v="0"/>
    <x v="53"/>
    <x v="0"/>
    <s v="Pennsylvania"/>
    <s v="Philadelphia"/>
    <x v="5"/>
    <n v="0.70000000000000007"/>
    <n v="3500"/>
    <x v="196"/>
    <n v="735.00000000000011"/>
    <n v="0.3"/>
  </r>
  <r>
    <x v="0"/>
    <x v="0"/>
    <x v="54"/>
    <x v="0"/>
    <s v="Pennsylvania"/>
    <s v="Philadelphia"/>
    <x v="0"/>
    <n v="0.65"/>
    <n v="4750"/>
    <x v="197"/>
    <n v="1543.75"/>
    <n v="0.5"/>
  </r>
  <r>
    <x v="0"/>
    <x v="0"/>
    <x v="54"/>
    <x v="0"/>
    <s v="Pennsylvania"/>
    <s v="Philadelphia"/>
    <x v="1"/>
    <n v="0.5"/>
    <n v="2750"/>
    <x v="140"/>
    <n v="412.5"/>
    <n v="0.3"/>
  </r>
  <r>
    <x v="0"/>
    <x v="0"/>
    <x v="54"/>
    <x v="0"/>
    <s v="Pennsylvania"/>
    <s v="Philadelphia"/>
    <x v="2"/>
    <n v="0.45"/>
    <n v="2000"/>
    <x v="124"/>
    <n v="315"/>
    <n v="0.35"/>
  </r>
  <r>
    <x v="0"/>
    <x v="0"/>
    <x v="54"/>
    <x v="0"/>
    <s v="Pennsylvania"/>
    <s v="Philadelphia"/>
    <x v="3"/>
    <n v="0.45"/>
    <n v="1750"/>
    <x v="120"/>
    <n v="275.625"/>
    <n v="0.35"/>
  </r>
  <r>
    <x v="0"/>
    <x v="0"/>
    <x v="54"/>
    <x v="0"/>
    <s v="Pennsylvania"/>
    <s v="Philadelphia"/>
    <x v="4"/>
    <n v="0.54999999999999993"/>
    <n v="1250"/>
    <x v="179"/>
    <n v="206.24999999999997"/>
    <n v="0.3"/>
  </r>
  <r>
    <x v="0"/>
    <x v="0"/>
    <x v="54"/>
    <x v="0"/>
    <s v="Pennsylvania"/>
    <s v="Philadelphia"/>
    <x v="5"/>
    <n v="0.6"/>
    <n v="2250"/>
    <x v="198"/>
    <n v="337.5"/>
    <n v="0.25"/>
  </r>
  <r>
    <x v="0"/>
    <x v="0"/>
    <x v="55"/>
    <x v="0"/>
    <s v="Pennsylvania"/>
    <s v="Philadelphia"/>
    <x v="0"/>
    <n v="0.6"/>
    <n v="4000"/>
    <x v="50"/>
    <n v="1200"/>
    <n v="0.5"/>
  </r>
  <r>
    <x v="0"/>
    <x v="0"/>
    <x v="55"/>
    <x v="0"/>
    <s v="Pennsylvania"/>
    <s v="Philadelphia"/>
    <x v="1"/>
    <n v="0.5"/>
    <n v="2250"/>
    <x v="127"/>
    <n v="337.5"/>
    <n v="0.3"/>
  </r>
  <r>
    <x v="0"/>
    <x v="0"/>
    <x v="55"/>
    <x v="0"/>
    <s v="Pennsylvania"/>
    <s v="Philadelphia"/>
    <x v="2"/>
    <n v="0.5"/>
    <n v="1250"/>
    <x v="143"/>
    <n v="218.75"/>
    <n v="0.35"/>
  </r>
  <r>
    <x v="0"/>
    <x v="0"/>
    <x v="55"/>
    <x v="0"/>
    <s v="Pennsylvania"/>
    <s v="Philadelphia"/>
    <x v="3"/>
    <n v="0.5"/>
    <n v="1000"/>
    <x v="118"/>
    <n v="175"/>
    <n v="0.35"/>
  </r>
  <r>
    <x v="0"/>
    <x v="0"/>
    <x v="55"/>
    <x v="0"/>
    <s v="Pennsylvania"/>
    <s v="Philadelphia"/>
    <x v="4"/>
    <n v="0.6"/>
    <n v="1000"/>
    <x v="128"/>
    <n v="180"/>
    <n v="0.3"/>
  </r>
  <r>
    <x v="0"/>
    <x v="0"/>
    <x v="55"/>
    <x v="0"/>
    <s v="Pennsylvania"/>
    <s v="Philadelphia"/>
    <x v="5"/>
    <n v="0.64999999999999991"/>
    <n v="2250"/>
    <x v="199"/>
    <n v="365.62499999999994"/>
    <n v="0.25"/>
  </r>
  <r>
    <x v="0"/>
    <x v="0"/>
    <x v="56"/>
    <x v="0"/>
    <s v="Pennsylvania"/>
    <s v="Philadelphia"/>
    <x v="0"/>
    <n v="0.70000000000000007"/>
    <n v="3750"/>
    <x v="195"/>
    <n v="1443.7500000000005"/>
    <n v="0.55000000000000004"/>
  </r>
  <r>
    <x v="0"/>
    <x v="0"/>
    <x v="56"/>
    <x v="0"/>
    <s v="Pennsylvania"/>
    <s v="Philadelphia"/>
    <x v="1"/>
    <n v="0.60000000000000009"/>
    <n v="2000"/>
    <x v="200"/>
    <n v="420.00000000000006"/>
    <n v="0.35"/>
  </r>
  <r>
    <x v="0"/>
    <x v="0"/>
    <x v="56"/>
    <x v="0"/>
    <s v="Pennsylvania"/>
    <s v="Philadelphia"/>
    <x v="2"/>
    <n v="0.60000000000000009"/>
    <n v="1950"/>
    <x v="201"/>
    <n v="468.00000000000006"/>
    <n v="0.39999999999999997"/>
  </r>
  <r>
    <x v="0"/>
    <x v="0"/>
    <x v="56"/>
    <x v="0"/>
    <s v="Pennsylvania"/>
    <s v="Philadelphia"/>
    <x v="3"/>
    <n v="0.60000000000000009"/>
    <n v="1750"/>
    <x v="187"/>
    <n v="420.00000000000006"/>
    <n v="0.39999999999999997"/>
  </r>
  <r>
    <x v="0"/>
    <x v="0"/>
    <x v="56"/>
    <x v="0"/>
    <s v="Pennsylvania"/>
    <s v="Philadelphia"/>
    <x v="4"/>
    <n v="0.70000000000000007"/>
    <n v="1500"/>
    <x v="202"/>
    <n v="367.5"/>
    <n v="0.35"/>
  </r>
  <r>
    <x v="0"/>
    <x v="0"/>
    <x v="56"/>
    <x v="0"/>
    <s v="Pennsylvania"/>
    <s v="Philadelphia"/>
    <x v="5"/>
    <n v="0.75"/>
    <n v="2500"/>
    <x v="203"/>
    <n v="562.5"/>
    <n v="0.3"/>
  </r>
  <r>
    <x v="0"/>
    <x v="0"/>
    <x v="57"/>
    <x v="0"/>
    <s v="Pennsylvania"/>
    <s v="Philadelphia"/>
    <x v="0"/>
    <n v="0.70000000000000007"/>
    <n v="4750"/>
    <x v="204"/>
    <n v="1828.7500000000005"/>
    <n v="0.55000000000000004"/>
  </r>
  <r>
    <x v="0"/>
    <x v="0"/>
    <x v="57"/>
    <x v="0"/>
    <s v="Pennsylvania"/>
    <s v="Philadelphia"/>
    <x v="1"/>
    <n v="0.60000000000000009"/>
    <n v="2750"/>
    <x v="205"/>
    <n v="577.5"/>
    <n v="0.35"/>
  </r>
  <r>
    <x v="0"/>
    <x v="0"/>
    <x v="57"/>
    <x v="0"/>
    <s v="Pennsylvania"/>
    <s v="Philadelphia"/>
    <x v="2"/>
    <n v="0.60000000000000009"/>
    <n v="2250"/>
    <x v="139"/>
    <n v="540"/>
    <n v="0.39999999999999997"/>
  </r>
  <r>
    <x v="0"/>
    <x v="0"/>
    <x v="57"/>
    <x v="0"/>
    <s v="Pennsylvania"/>
    <s v="Philadelphia"/>
    <x v="3"/>
    <n v="0.60000000000000009"/>
    <n v="1750"/>
    <x v="187"/>
    <n v="420.00000000000006"/>
    <n v="0.39999999999999997"/>
  </r>
  <r>
    <x v="0"/>
    <x v="0"/>
    <x v="57"/>
    <x v="0"/>
    <s v="Pennsylvania"/>
    <s v="Philadelphia"/>
    <x v="4"/>
    <n v="0.70000000000000007"/>
    <n v="1750"/>
    <x v="206"/>
    <n v="428.75000000000006"/>
    <n v="0.35"/>
  </r>
  <r>
    <x v="0"/>
    <x v="0"/>
    <x v="57"/>
    <x v="0"/>
    <s v="Pennsylvania"/>
    <s v="Philadelphia"/>
    <x v="5"/>
    <n v="0.75"/>
    <n v="2750"/>
    <x v="138"/>
    <n v="618.75"/>
    <n v="0.3"/>
  </r>
  <r>
    <x v="2"/>
    <x v="2"/>
    <x v="36"/>
    <x v="2"/>
    <s v="Nevada"/>
    <s v="Las Vegas"/>
    <x v="0"/>
    <n v="0.35"/>
    <n v="4500"/>
    <x v="151"/>
    <n v="630"/>
    <n v="0.4"/>
  </r>
  <r>
    <x v="2"/>
    <x v="2"/>
    <x v="36"/>
    <x v="2"/>
    <s v="Nevada"/>
    <s v="Las Vegas"/>
    <x v="1"/>
    <n v="0.45"/>
    <n v="4500"/>
    <x v="158"/>
    <n v="506.25"/>
    <n v="0.25"/>
  </r>
  <r>
    <x v="2"/>
    <x v="2"/>
    <x v="36"/>
    <x v="2"/>
    <s v="Nevada"/>
    <s v="Las Vegas"/>
    <x v="2"/>
    <n v="0.45"/>
    <n v="4500"/>
    <x v="158"/>
    <n v="810"/>
    <n v="0.4"/>
  </r>
  <r>
    <x v="2"/>
    <x v="2"/>
    <x v="36"/>
    <x v="2"/>
    <s v="Nevada"/>
    <s v="Las Vegas"/>
    <x v="3"/>
    <n v="0.45"/>
    <n v="3000"/>
    <x v="198"/>
    <n v="472.49999999999994"/>
    <n v="0.35"/>
  </r>
  <r>
    <x v="2"/>
    <x v="2"/>
    <x v="36"/>
    <x v="2"/>
    <s v="Nevada"/>
    <s v="Las Vegas"/>
    <x v="4"/>
    <n v="0.5"/>
    <n v="2500"/>
    <x v="142"/>
    <n v="687.5"/>
    <n v="0.55000000000000004"/>
  </r>
  <r>
    <x v="2"/>
    <x v="2"/>
    <x v="36"/>
    <x v="2"/>
    <s v="Nevada"/>
    <s v="Las Vegas"/>
    <x v="5"/>
    <n v="0.45"/>
    <n v="4750"/>
    <x v="115"/>
    <n v="427.5"/>
    <n v="0.2"/>
  </r>
  <r>
    <x v="2"/>
    <x v="2"/>
    <x v="37"/>
    <x v="2"/>
    <s v="Nevada"/>
    <s v="Las Vegas"/>
    <x v="0"/>
    <n v="0.35"/>
    <n v="5250"/>
    <x v="152"/>
    <n v="735"/>
    <n v="0.4"/>
  </r>
  <r>
    <x v="2"/>
    <x v="2"/>
    <x v="37"/>
    <x v="2"/>
    <s v="Nevada"/>
    <s v="Las Vegas"/>
    <x v="1"/>
    <n v="0.45"/>
    <n v="4250"/>
    <x v="172"/>
    <n v="478.125"/>
    <n v="0.25"/>
  </r>
  <r>
    <x v="2"/>
    <x v="2"/>
    <x v="37"/>
    <x v="2"/>
    <s v="Nevada"/>
    <s v="Las Vegas"/>
    <x v="2"/>
    <n v="0.45"/>
    <n v="4250"/>
    <x v="172"/>
    <n v="765"/>
    <n v="0.4"/>
  </r>
  <r>
    <x v="2"/>
    <x v="2"/>
    <x v="37"/>
    <x v="2"/>
    <s v="Nevada"/>
    <s v="Las Vegas"/>
    <x v="3"/>
    <n v="0.45"/>
    <n v="2750"/>
    <x v="116"/>
    <n v="433.125"/>
    <n v="0.35"/>
  </r>
  <r>
    <x v="2"/>
    <x v="2"/>
    <x v="37"/>
    <x v="2"/>
    <s v="Nevada"/>
    <s v="Las Vegas"/>
    <x v="4"/>
    <n v="0.5"/>
    <n v="2000"/>
    <x v="123"/>
    <n v="550"/>
    <n v="0.55000000000000004"/>
  </r>
  <r>
    <x v="2"/>
    <x v="2"/>
    <x v="37"/>
    <x v="2"/>
    <s v="Nevada"/>
    <s v="Las Vegas"/>
    <x v="5"/>
    <n v="0.45"/>
    <n v="4000"/>
    <x v="207"/>
    <n v="360"/>
    <n v="0.2"/>
  </r>
  <r>
    <x v="2"/>
    <x v="2"/>
    <x v="38"/>
    <x v="2"/>
    <s v="Nevada"/>
    <s v="Las Vegas"/>
    <x v="0"/>
    <n v="0.45"/>
    <n v="5500"/>
    <x v="111"/>
    <n v="990"/>
    <n v="0.4"/>
  </r>
  <r>
    <x v="2"/>
    <x v="2"/>
    <x v="38"/>
    <x v="2"/>
    <s v="Nevada"/>
    <s v="Las Vegas"/>
    <x v="1"/>
    <n v="0.54999999999999993"/>
    <n v="4000"/>
    <x v="208"/>
    <n v="549.99999999999989"/>
    <n v="0.25"/>
  </r>
  <r>
    <x v="2"/>
    <x v="2"/>
    <x v="38"/>
    <x v="2"/>
    <s v="Nevada"/>
    <s v="Las Vegas"/>
    <x v="2"/>
    <n v="0.54999999999999993"/>
    <n v="4000"/>
    <x v="208"/>
    <n v="879.99999999999989"/>
    <n v="0.4"/>
  </r>
  <r>
    <x v="2"/>
    <x v="2"/>
    <x v="38"/>
    <x v="2"/>
    <s v="Nevada"/>
    <s v="Las Vegas"/>
    <x v="3"/>
    <n v="0.54999999999999993"/>
    <n v="3000"/>
    <x v="209"/>
    <n v="577.49999999999989"/>
    <n v="0.35"/>
  </r>
  <r>
    <x v="2"/>
    <x v="2"/>
    <x v="38"/>
    <x v="2"/>
    <s v="Nevada"/>
    <s v="Las Vegas"/>
    <x v="4"/>
    <n v="0.6"/>
    <n v="1750"/>
    <x v="202"/>
    <n v="577.5"/>
    <n v="0.55000000000000004"/>
  </r>
  <r>
    <x v="2"/>
    <x v="2"/>
    <x v="38"/>
    <x v="2"/>
    <s v="Nevada"/>
    <s v="Las Vegas"/>
    <x v="5"/>
    <n v="0.54999999999999993"/>
    <n v="3750"/>
    <x v="210"/>
    <n v="412.49999999999994"/>
    <n v="0.2"/>
  </r>
  <r>
    <x v="2"/>
    <x v="2"/>
    <x v="39"/>
    <x v="2"/>
    <s v="Nevada"/>
    <s v="Las Vegas"/>
    <x v="0"/>
    <n v="0.6"/>
    <n v="5500"/>
    <x v="211"/>
    <n v="1320"/>
    <n v="0.4"/>
  </r>
  <r>
    <x v="2"/>
    <x v="2"/>
    <x v="39"/>
    <x v="2"/>
    <s v="Nevada"/>
    <s v="Las Vegas"/>
    <x v="1"/>
    <n v="0.65"/>
    <n v="3500"/>
    <x v="154"/>
    <n v="568.75"/>
    <n v="0.25"/>
  </r>
  <r>
    <x v="2"/>
    <x v="2"/>
    <x v="39"/>
    <x v="2"/>
    <s v="Nevada"/>
    <s v="Las Vegas"/>
    <x v="2"/>
    <n v="0.65"/>
    <n v="4000"/>
    <x v="51"/>
    <n v="1040"/>
    <n v="0.4"/>
  </r>
  <r>
    <x v="2"/>
    <x v="2"/>
    <x v="39"/>
    <x v="2"/>
    <s v="Nevada"/>
    <s v="Las Vegas"/>
    <x v="3"/>
    <n v="0.6"/>
    <n v="3000"/>
    <x v="207"/>
    <n v="630"/>
    <n v="0.35"/>
  </r>
  <r>
    <x v="2"/>
    <x v="2"/>
    <x v="39"/>
    <x v="2"/>
    <s v="Nevada"/>
    <s v="Las Vegas"/>
    <x v="4"/>
    <n v="0.65"/>
    <n v="2000"/>
    <x v="194"/>
    <n v="715.00000000000011"/>
    <n v="0.55000000000000004"/>
  </r>
  <r>
    <x v="2"/>
    <x v="2"/>
    <x v="39"/>
    <x v="2"/>
    <s v="Nevada"/>
    <s v="Las Vegas"/>
    <x v="5"/>
    <n v="0.8"/>
    <n v="3500"/>
    <x v="59"/>
    <n v="560"/>
    <n v="0.2"/>
  </r>
  <r>
    <x v="2"/>
    <x v="2"/>
    <x v="40"/>
    <x v="2"/>
    <s v="Nevada"/>
    <s v="Las Vegas"/>
    <x v="0"/>
    <n v="0.6"/>
    <n v="5500"/>
    <x v="211"/>
    <n v="1485"/>
    <n v="0.45"/>
  </r>
  <r>
    <x v="2"/>
    <x v="2"/>
    <x v="40"/>
    <x v="2"/>
    <s v="Nevada"/>
    <s v="Las Vegas"/>
    <x v="1"/>
    <n v="0.65"/>
    <n v="4000"/>
    <x v="51"/>
    <n v="780"/>
    <n v="0.3"/>
  </r>
  <r>
    <x v="2"/>
    <x v="2"/>
    <x v="40"/>
    <x v="2"/>
    <s v="Nevada"/>
    <s v="Las Vegas"/>
    <x v="2"/>
    <n v="0.65"/>
    <n v="4000"/>
    <x v="51"/>
    <n v="1170"/>
    <n v="0.45"/>
  </r>
  <r>
    <x v="2"/>
    <x v="2"/>
    <x v="40"/>
    <x v="2"/>
    <s v="Nevada"/>
    <s v="Las Vegas"/>
    <x v="3"/>
    <n v="0.6"/>
    <n v="3000"/>
    <x v="207"/>
    <n v="719.99999999999989"/>
    <n v="0.39999999999999997"/>
  </r>
  <r>
    <x v="2"/>
    <x v="2"/>
    <x v="40"/>
    <x v="2"/>
    <s v="Nevada"/>
    <s v="Las Vegas"/>
    <x v="4"/>
    <n v="0.65"/>
    <n v="2000"/>
    <x v="194"/>
    <n v="780.00000000000011"/>
    <n v="0.60000000000000009"/>
  </r>
  <r>
    <x v="2"/>
    <x v="2"/>
    <x v="40"/>
    <x v="2"/>
    <s v="Nevada"/>
    <s v="Las Vegas"/>
    <x v="5"/>
    <n v="0.8"/>
    <n v="4500"/>
    <x v="11"/>
    <n v="900"/>
    <n v="0.25"/>
  </r>
  <r>
    <x v="2"/>
    <x v="2"/>
    <x v="41"/>
    <x v="2"/>
    <s v="Nevada"/>
    <s v="Las Vegas"/>
    <x v="0"/>
    <n v="0.6"/>
    <n v="7000"/>
    <x v="81"/>
    <n v="1890"/>
    <n v="0.45"/>
  </r>
  <r>
    <x v="2"/>
    <x v="2"/>
    <x v="41"/>
    <x v="2"/>
    <s v="Nevada"/>
    <s v="Las Vegas"/>
    <x v="1"/>
    <n v="0.65"/>
    <n v="5500"/>
    <x v="88"/>
    <n v="1072.5"/>
    <n v="0.3"/>
  </r>
  <r>
    <x v="2"/>
    <x v="2"/>
    <x v="41"/>
    <x v="2"/>
    <s v="Nevada"/>
    <s v="Las Vegas"/>
    <x v="2"/>
    <n v="0.65"/>
    <n v="5500"/>
    <x v="88"/>
    <n v="1608.75"/>
    <n v="0.45"/>
  </r>
  <r>
    <x v="2"/>
    <x v="2"/>
    <x v="41"/>
    <x v="2"/>
    <s v="Nevada"/>
    <s v="Las Vegas"/>
    <x v="3"/>
    <n v="0.6"/>
    <n v="4250"/>
    <x v="141"/>
    <n v="1019.9999999999999"/>
    <n v="0.39999999999999997"/>
  </r>
  <r>
    <x v="2"/>
    <x v="2"/>
    <x v="41"/>
    <x v="2"/>
    <s v="Nevada"/>
    <s v="Las Vegas"/>
    <x v="4"/>
    <n v="0.65"/>
    <n v="3000"/>
    <x v="212"/>
    <n v="1170.0000000000002"/>
    <n v="0.60000000000000009"/>
  </r>
  <r>
    <x v="2"/>
    <x v="2"/>
    <x v="41"/>
    <x v="2"/>
    <s v="Nevada"/>
    <s v="Las Vegas"/>
    <x v="5"/>
    <n v="0.8"/>
    <n v="6000"/>
    <x v="213"/>
    <n v="1200"/>
    <n v="0.25"/>
  </r>
  <r>
    <x v="2"/>
    <x v="2"/>
    <x v="42"/>
    <x v="2"/>
    <s v="Nevada"/>
    <s v="Las Vegas"/>
    <x v="0"/>
    <n v="0.6"/>
    <n v="7500"/>
    <x v="6"/>
    <n v="1800"/>
    <n v="0.4"/>
  </r>
  <r>
    <x v="2"/>
    <x v="2"/>
    <x v="42"/>
    <x v="2"/>
    <s v="Nevada"/>
    <s v="Las Vegas"/>
    <x v="1"/>
    <n v="0.65"/>
    <n v="6000"/>
    <x v="87"/>
    <n v="975"/>
    <n v="0.25"/>
  </r>
  <r>
    <x v="2"/>
    <x v="2"/>
    <x v="42"/>
    <x v="2"/>
    <s v="Nevada"/>
    <s v="Las Vegas"/>
    <x v="2"/>
    <n v="0.65"/>
    <n v="5500"/>
    <x v="88"/>
    <n v="1430"/>
    <n v="0.4"/>
  </r>
  <r>
    <x v="2"/>
    <x v="2"/>
    <x v="42"/>
    <x v="2"/>
    <s v="Nevada"/>
    <s v="Las Vegas"/>
    <x v="3"/>
    <n v="0.6"/>
    <n v="4500"/>
    <x v="52"/>
    <n v="944.99999999999989"/>
    <n v="0.35"/>
  </r>
  <r>
    <x v="2"/>
    <x v="2"/>
    <x v="42"/>
    <x v="2"/>
    <s v="Nevada"/>
    <s v="Las Vegas"/>
    <x v="4"/>
    <n v="0.65"/>
    <n v="5000"/>
    <x v="82"/>
    <n v="1787.5000000000002"/>
    <n v="0.55000000000000004"/>
  </r>
  <r>
    <x v="2"/>
    <x v="2"/>
    <x v="42"/>
    <x v="2"/>
    <s v="Nevada"/>
    <s v="Las Vegas"/>
    <x v="5"/>
    <n v="0.8"/>
    <n v="5000"/>
    <x v="2"/>
    <n v="800"/>
    <n v="0.2"/>
  </r>
  <r>
    <x v="2"/>
    <x v="2"/>
    <x v="43"/>
    <x v="2"/>
    <s v="Nevada"/>
    <s v="Las Vegas"/>
    <x v="0"/>
    <n v="0.65"/>
    <n v="7000"/>
    <x v="109"/>
    <n v="1820"/>
    <n v="0.4"/>
  </r>
  <r>
    <x v="2"/>
    <x v="2"/>
    <x v="43"/>
    <x v="2"/>
    <s v="Nevada"/>
    <s v="Las Vegas"/>
    <x v="1"/>
    <n v="0.70000000000000007"/>
    <n v="6500"/>
    <x v="109"/>
    <n v="1137.5"/>
    <n v="0.25"/>
  </r>
  <r>
    <x v="2"/>
    <x v="2"/>
    <x v="43"/>
    <x v="2"/>
    <s v="Nevada"/>
    <s v="Las Vegas"/>
    <x v="2"/>
    <n v="0.65"/>
    <n v="5250"/>
    <x v="85"/>
    <n v="1365"/>
    <n v="0.4"/>
  </r>
  <r>
    <x v="2"/>
    <x v="2"/>
    <x v="43"/>
    <x v="2"/>
    <s v="Nevada"/>
    <s v="Las Vegas"/>
    <x v="3"/>
    <n v="0.65"/>
    <n v="4750"/>
    <x v="197"/>
    <n v="1080.625"/>
    <n v="0.35"/>
  </r>
  <r>
    <x v="2"/>
    <x v="2"/>
    <x v="43"/>
    <x v="2"/>
    <s v="Nevada"/>
    <s v="Las Vegas"/>
    <x v="4"/>
    <n v="0.75"/>
    <n v="4750"/>
    <x v="214"/>
    <n v="1959.3750000000002"/>
    <n v="0.55000000000000004"/>
  </r>
  <r>
    <x v="2"/>
    <x v="2"/>
    <x v="43"/>
    <x v="2"/>
    <s v="Nevada"/>
    <s v="Las Vegas"/>
    <x v="5"/>
    <n v="0.8"/>
    <n v="4000"/>
    <x v="55"/>
    <n v="640"/>
    <n v="0.2"/>
  </r>
  <r>
    <x v="2"/>
    <x v="2"/>
    <x v="44"/>
    <x v="2"/>
    <s v="Nevada"/>
    <s v="Las Vegas"/>
    <x v="0"/>
    <n v="0.60000000000000009"/>
    <n v="6000"/>
    <x v="215"/>
    <n v="1260.0000000000002"/>
    <n v="0.35000000000000003"/>
  </r>
  <r>
    <x v="2"/>
    <x v="2"/>
    <x v="44"/>
    <x v="2"/>
    <s v="Nevada"/>
    <s v="Las Vegas"/>
    <x v="1"/>
    <n v="0.65000000000000013"/>
    <n v="6000"/>
    <x v="216"/>
    <n v="780.00000000000023"/>
    <n v="0.2"/>
  </r>
  <r>
    <x v="2"/>
    <x v="2"/>
    <x v="44"/>
    <x v="2"/>
    <s v="Nevada"/>
    <s v="Las Vegas"/>
    <x v="2"/>
    <n v="0.60000000000000009"/>
    <n v="4500"/>
    <x v="217"/>
    <n v="945.00000000000023"/>
    <n v="0.35000000000000003"/>
  </r>
  <r>
    <x v="2"/>
    <x v="2"/>
    <x v="44"/>
    <x v="2"/>
    <s v="Nevada"/>
    <s v="Las Vegas"/>
    <x v="3"/>
    <n v="0.60000000000000009"/>
    <n v="4000"/>
    <x v="218"/>
    <n v="720.00000000000011"/>
    <n v="0.3"/>
  </r>
  <r>
    <x v="2"/>
    <x v="2"/>
    <x v="44"/>
    <x v="2"/>
    <s v="Nevada"/>
    <s v="Las Vegas"/>
    <x v="4"/>
    <n v="0.70000000000000007"/>
    <n v="4000"/>
    <x v="219"/>
    <n v="1400.0000000000005"/>
    <n v="0.50000000000000011"/>
  </r>
  <r>
    <x v="2"/>
    <x v="2"/>
    <x v="44"/>
    <x v="2"/>
    <s v="Nevada"/>
    <s v="Las Vegas"/>
    <x v="5"/>
    <n v="0.75000000000000011"/>
    <n v="4500"/>
    <x v="220"/>
    <n v="506.25000000000017"/>
    <n v="0.15000000000000002"/>
  </r>
  <r>
    <x v="2"/>
    <x v="2"/>
    <x v="45"/>
    <x v="2"/>
    <s v="Nevada"/>
    <s v="Las Vegas"/>
    <x v="0"/>
    <n v="0.60000000000000009"/>
    <n v="5500"/>
    <x v="221"/>
    <n v="1155.0000000000002"/>
    <n v="0.35000000000000003"/>
  </r>
  <r>
    <x v="2"/>
    <x v="2"/>
    <x v="45"/>
    <x v="2"/>
    <s v="Nevada"/>
    <s v="Las Vegas"/>
    <x v="1"/>
    <n v="0.65000000000000013"/>
    <n v="5500"/>
    <x v="222"/>
    <n v="715.00000000000023"/>
    <n v="0.2"/>
  </r>
  <r>
    <x v="2"/>
    <x v="2"/>
    <x v="45"/>
    <x v="2"/>
    <s v="Nevada"/>
    <s v="Las Vegas"/>
    <x v="2"/>
    <n v="0.60000000000000009"/>
    <n v="3750"/>
    <x v="223"/>
    <n v="787.50000000000023"/>
    <n v="0.35000000000000003"/>
  </r>
  <r>
    <x v="2"/>
    <x v="2"/>
    <x v="45"/>
    <x v="2"/>
    <s v="Nevada"/>
    <s v="Las Vegas"/>
    <x v="3"/>
    <n v="0.60000000000000009"/>
    <n v="3500"/>
    <x v="162"/>
    <n v="630.00000000000011"/>
    <n v="0.3"/>
  </r>
  <r>
    <x v="2"/>
    <x v="2"/>
    <x v="45"/>
    <x v="2"/>
    <s v="Nevada"/>
    <s v="Las Vegas"/>
    <x v="4"/>
    <n v="0.70000000000000007"/>
    <n v="3250"/>
    <x v="154"/>
    <n v="1137.5000000000002"/>
    <n v="0.50000000000000011"/>
  </r>
  <r>
    <x v="2"/>
    <x v="2"/>
    <x v="45"/>
    <x v="2"/>
    <s v="Nevada"/>
    <s v="Las Vegas"/>
    <x v="5"/>
    <n v="0.75000000000000011"/>
    <n v="3750"/>
    <x v="224"/>
    <n v="421.87500000000011"/>
    <n v="0.15000000000000002"/>
  </r>
  <r>
    <x v="2"/>
    <x v="2"/>
    <x v="46"/>
    <x v="2"/>
    <s v="Nevada"/>
    <s v="Las Vegas"/>
    <x v="0"/>
    <n v="0.60000000000000009"/>
    <n v="5750"/>
    <x v="225"/>
    <n v="1207.5000000000002"/>
    <n v="0.35000000000000003"/>
  </r>
  <r>
    <x v="2"/>
    <x v="2"/>
    <x v="46"/>
    <x v="2"/>
    <s v="Nevada"/>
    <s v="Las Vegas"/>
    <x v="1"/>
    <n v="0.65000000000000013"/>
    <n v="5750"/>
    <x v="226"/>
    <n v="747.50000000000023"/>
    <n v="0.2"/>
  </r>
  <r>
    <x v="2"/>
    <x v="2"/>
    <x v="46"/>
    <x v="2"/>
    <s v="Nevada"/>
    <s v="Las Vegas"/>
    <x v="2"/>
    <n v="0.60000000000000009"/>
    <n v="4250"/>
    <x v="227"/>
    <n v="892.50000000000023"/>
    <n v="0.35000000000000003"/>
  </r>
  <r>
    <x v="2"/>
    <x v="2"/>
    <x v="46"/>
    <x v="2"/>
    <s v="Nevada"/>
    <s v="Las Vegas"/>
    <x v="3"/>
    <n v="0.60000000000000009"/>
    <n v="4000"/>
    <x v="218"/>
    <n v="720.00000000000011"/>
    <n v="0.3"/>
  </r>
  <r>
    <x v="2"/>
    <x v="2"/>
    <x v="46"/>
    <x v="2"/>
    <s v="Nevada"/>
    <s v="Las Vegas"/>
    <x v="4"/>
    <n v="0.70000000000000007"/>
    <n v="3500"/>
    <x v="196"/>
    <n v="1225.0000000000005"/>
    <n v="0.50000000000000011"/>
  </r>
  <r>
    <x v="2"/>
    <x v="2"/>
    <x v="46"/>
    <x v="2"/>
    <s v="Nevada"/>
    <s v="Las Vegas"/>
    <x v="5"/>
    <n v="0.75000000000000011"/>
    <n v="4750"/>
    <x v="228"/>
    <n v="534.37500000000011"/>
    <n v="0.15000000000000002"/>
  </r>
  <r>
    <x v="2"/>
    <x v="2"/>
    <x v="47"/>
    <x v="2"/>
    <s v="Nevada"/>
    <s v="Las Vegas"/>
    <x v="0"/>
    <n v="0.60000000000000009"/>
    <n v="6750"/>
    <x v="229"/>
    <n v="1417.5000000000002"/>
    <n v="0.35000000000000003"/>
  </r>
  <r>
    <x v="2"/>
    <x v="2"/>
    <x v="47"/>
    <x v="2"/>
    <s v="Nevada"/>
    <s v="Las Vegas"/>
    <x v="1"/>
    <n v="0.65000000000000013"/>
    <n v="6750"/>
    <x v="230"/>
    <n v="877.50000000000023"/>
    <n v="0.2"/>
  </r>
  <r>
    <x v="2"/>
    <x v="2"/>
    <x v="47"/>
    <x v="2"/>
    <s v="Nevada"/>
    <s v="Las Vegas"/>
    <x v="2"/>
    <n v="0.60000000000000009"/>
    <n v="4750"/>
    <x v="231"/>
    <n v="997.50000000000023"/>
    <n v="0.35000000000000003"/>
  </r>
  <r>
    <x v="2"/>
    <x v="2"/>
    <x v="47"/>
    <x v="2"/>
    <s v="Nevada"/>
    <s v="Las Vegas"/>
    <x v="3"/>
    <n v="0.60000000000000009"/>
    <n v="4750"/>
    <x v="231"/>
    <n v="855.00000000000011"/>
    <n v="0.3"/>
  </r>
  <r>
    <x v="2"/>
    <x v="2"/>
    <x v="47"/>
    <x v="2"/>
    <s v="Nevada"/>
    <s v="Las Vegas"/>
    <x v="4"/>
    <n v="0.70000000000000007"/>
    <n v="4000"/>
    <x v="219"/>
    <n v="1400.0000000000005"/>
    <n v="0.50000000000000011"/>
  </r>
  <r>
    <x v="2"/>
    <x v="2"/>
    <x v="47"/>
    <x v="2"/>
    <s v="Nevada"/>
    <s v="Las Vegas"/>
    <x v="5"/>
    <n v="0.75000000000000011"/>
    <n v="5000"/>
    <x v="232"/>
    <n v="562.50000000000011"/>
    <n v="0.15000000000000002"/>
  </r>
  <r>
    <x v="2"/>
    <x v="2"/>
    <x v="58"/>
    <x v="2"/>
    <s v="Colorado"/>
    <s v="Denver"/>
    <x v="0"/>
    <n v="0.3"/>
    <n v="4250"/>
    <x v="233"/>
    <n v="446.25000000000006"/>
    <n v="0.35000000000000003"/>
  </r>
  <r>
    <x v="2"/>
    <x v="2"/>
    <x v="58"/>
    <x v="2"/>
    <s v="Colorado"/>
    <s v="Denver"/>
    <x v="1"/>
    <n v="0.4"/>
    <n v="4250"/>
    <x v="234"/>
    <n v="340"/>
    <n v="0.2"/>
  </r>
  <r>
    <x v="2"/>
    <x v="2"/>
    <x v="58"/>
    <x v="2"/>
    <s v="Colorado"/>
    <s v="Denver"/>
    <x v="2"/>
    <n v="0.4"/>
    <n v="4250"/>
    <x v="234"/>
    <n v="595"/>
    <n v="0.35000000000000003"/>
  </r>
  <r>
    <x v="2"/>
    <x v="2"/>
    <x v="58"/>
    <x v="2"/>
    <s v="Colorado"/>
    <s v="Denver"/>
    <x v="3"/>
    <n v="0.4"/>
    <n v="2750"/>
    <x v="130"/>
    <n v="330"/>
    <n v="0.3"/>
  </r>
  <r>
    <x v="2"/>
    <x v="2"/>
    <x v="58"/>
    <x v="2"/>
    <s v="Colorado"/>
    <s v="Denver"/>
    <x v="4"/>
    <n v="0.45"/>
    <n v="2250"/>
    <x v="177"/>
    <n v="506.25"/>
    <n v="0.5"/>
  </r>
  <r>
    <x v="2"/>
    <x v="2"/>
    <x v="58"/>
    <x v="2"/>
    <s v="Colorado"/>
    <s v="Denver"/>
    <x v="5"/>
    <n v="0.4"/>
    <n v="4750"/>
    <x v="235"/>
    <n v="285.00000000000006"/>
    <n v="0.15000000000000002"/>
  </r>
  <r>
    <x v="2"/>
    <x v="2"/>
    <x v="49"/>
    <x v="2"/>
    <s v="Colorado"/>
    <s v="Denver"/>
    <x v="0"/>
    <n v="0.3"/>
    <n v="5250"/>
    <x v="151"/>
    <n v="551.25"/>
    <n v="0.35000000000000003"/>
  </r>
  <r>
    <x v="2"/>
    <x v="2"/>
    <x v="49"/>
    <x v="2"/>
    <s v="Colorado"/>
    <s v="Denver"/>
    <x v="1"/>
    <n v="0.4"/>
    <n v="4250"/>
    <x v="234"/>
    <n v="340"/>
    <n v="0.2"/>
  </r>
  <r>
    <x v="2"/>
    <x v="2"/>
    <x v="49"/>
    <x v="2"/>
    <s v="Colorado"/>
    <s v="Denver"/>
    <x v="2"/>
    <n v="0.4"/>
    <n v="4250"/>
    <x v="234"/>
    <n v="595"/>
    <n v="0.35000000000000003"/>
  </r>
  <r>
    <x v="2"/>
    <x v="2"/>
    <x v="49"/>
    <x v="2"/>
    <s v="Colorado"/>
    <s v="Denver"/>
    <x v="3"/>
    <n v="0.4"/>
    <n v="2750"/>
    <x v="130"/>
    <n v="330"/>
    <n v="0.3"/>
  </r>
  <r>
    <x v="2"/>
    <x v="2"/>
    <x v="49"/>
    <x v="2"/>
    <s v="Colorado"/>
    <s v="Denver"/>
    <x v="4"/>
    <n v="0.45"/>
    <n v="2000"/>
    <x v="124"/>
    <n v="450"/>
    <n v="0.5"/>
  </r>
  <r>
    <x v="2"/>
    <x v="2"/>
    <x v="49"/>
    <x v="2"/>
    <s v="Colorado"/>
    <s v="Denver"/>
    <x v="5"/>
    <n v="0.4"/>
    <n v="4000"/>
    <x v="173"/>
    <n v="240.00000000000003"/>
    <n v="0.15000000000000002"/>
  </r>
  <r>
    <x v="2"/>
    <x v="2"/>
    <x v="59"/>
    <x v="2"/>
    <s v="Colorado"/>
    <s v="Denver"/>
    <x v="0"/>
    <n v="0.4"/>
    <n v="5500"/>
    <x v="42"/>
    <n v="770.00000000000011"/>
    <n v="0.35000000000000003"/>
  </r>
  <r>
    <x v="2"/>
    <x v="2"/>
    <x v="59"/>
    <x v="2"/>
    <s v="Colorado"/>
    <s v="Denver"/>
    <x v="1"/>
    <n v="0.49999999999999994"/>
    <n v="4000"/>
    <x v="236"/>
    <n v="400"/>
    <n v="0.2"/>
  </r>
  <r>
    <x v="2"/>
    <x v="2"/>
    <x v="59"/>
    <x v="2"/>
    <s v="Colorado"/>
    <s v="Denver"/>
    <x v="2"/>
    <n v="0.54999999999999993"/>
    <n v="4000"/>
    <x v="208"/>
    <n v="769.99999999999989"/>
    <n v="0.35000000000000003"/>
  </r>
  <r>
    <x v="2"/>
    <x v="2"/>
    <x v="59"/>
    <x v="2"/>
    <s v="Colorado"/>
    <s v="Denver"/>
    <x v="3"/>
    <n v="0.54999999999999993"/>
    <n v="3000"/>
    <x v="209"/>
    <n v="494.99999999999989"/>
    <n v="0.3"/>
  </r>
  <r>
    <x v="2"/>
    <x v="2"/>
    <x v="59"/>
    <x v="2"/>
    <s v="Colorado"/>
    <s v="Denver"/>
    <x v="4"/>
    <n v="0.6"/>
    <n v="1500"/>
    <x v="124"/>
    <n v="450"/>
    <n v="0.5"/>
  </r>
  <r>
    <x v="2"/>
    <x v="2"/>
    <x v="59"/>
    <x v="2"/>
    <s v="Colorado"/>
    <s v="Denver"/>
    <x v="5"/>
    <n v="0.54999999999999993"/>
    <n v="3500"/>
    <x v="237"/>
    <n v="288.75"/>
    <n v="0.15000000000000002"/>
  </r>
  <r>
    <x v="2"/>
    <x v="2"/>
    <x v="60"/>
    <x v="2"/>
    <s v="Colorado"/>
    <s v="Denver"/>
    <x v="0"/>
    <n v="0.6"/>
    <n v="5250"/>
    <x v="40"/>
    <n v="1102.5"/>
    <n v="0.35000000000000003"/>
  </r>
  <r>
    <x v="2"/>
    <x v="2"/>
    <x v="60"/>
    <x v="2"/>
    <s v="Colorado"/>
    <s v="Denver"/>
    <x v="1"/>
    <n v="0.65"/>
    <n v="3250"/>
    <x v="238"/>
    <n v="422.5"/>
    <n v="0.2"/>
  </r>
  <r>
    <x v="2"/>
    <x v="2"/>
    <x v="60"/>
    <x v="2"/>
    <s v="Colorado"/>
    <s v="Denver"/>
    <x v="2"/>
    <n v="0.65"/>
    <n v="3750"/>
    <x v="239"/>
    <n v="853.12500000000011"/>
    <n v="0.35000000000000003"/>
  </r>
  <r>
    <x v="2"/>
    <x v="2"/>
    <x v="60"/>
    <x v="2"/>
    <s v="Colorado"/>
    <s v="Denver"/>
    <x v="3"/>
    <n v="0.6"/>
    <n v="2750"/>
    <x v="240"/>
    <n v="495"/>
    <n v="0.3"/>
  </r>
  <r>
    <x v="2"/>
    <x v="2"/>
    <x v="60"/>
    <x v="2"/>
    <s v="Colorado"/>
    <s v="Denver"/>
    <x v="4"/>
    <n v="0.65"/>
    <n v="1750"/>
    <x v="165"/>
    <n v="568.75"/>
    <n v="0.5"/>
  </r>
  <r>
    <x v="2"/>
    <x v="2"/>
    <x v="60"/>
    <x v="2"/>
    <s v="Colorado"/>
    <s v="Denver"/>
    <x v="5"/>
    <n v="0.8"/>
    <n v="3250"/>
    <x v="51"/>
    <n v="390.00000000000006"/>
    <n v="0.15000000000000002"/>
  </r>
  <r>
    <x v="2"/>
    <x v="2"/>
    <x v="61"/>
    <x v="2"/>
    <s v="Colorado"/>
    <s v="Denver"/>
    <x v="0"/>
    <n v="0.6"/>
    <n v="5250"/>
    <x v="40"/>
    <n v="1575"/>
    <n v="0.5"/>
  </r>
  <r>
    <x v="2"/>
    <x v="2"/>
    <x v="61"/>
    <x v="2"/>
    <s v="Colorado"/>
    <s v="Denver"/>
    <x v="1"/>
    <n v="0.65"/>
    <n v="3750"/>
    <x v="239"/>
    <n v="853.125"/>
    <n v="0.35"/>
  </r>
  <r>
    <x v="2"/>
    <x v="2"/>
    <x v="61"/>
    <x v="2"/>
    <s v="Colorado"/>
    <s v="Denver"/>
    <x v="2"/>
    <n v="0.65"/>
    <n v="3750"/>
    <x v="239"/>
    <n v="1218.75"/>
    <n v="0.5"/>
  </r>
  <r>
    <x v="2"/>
    <x v="2"/>
    <x v="61"/>
    <x v="2"/>
    <s v="Colorado"/>
    <s v="Denver"/>
    <x v="3"/>
    <n v="0.6"/>
    <n v="2750"/>
    <x v="240"/>
    <n v="742.49999999999989"/>
    <n v="0.44999999999999996"/>
  </r>
  <r>
    <x v="2"/>
    <x v="2"/>
    <x v="61"/>
    <x v="2"/>
    <s v="Colorado"/>
    <s v="Denver"/>
    <x v="4"/>
    <n v="0.65"/>
    <n v="1750"/>
    <x v="165"/>
    <n v="739.37500000000011"/>
    <n v="0.65000000000000013"/>
  </r>
  <r>
    <x v="2"/>
    <x v="2"/>
    <x v="61"/>
    <x v="2"/>
    <s v="Colorado"/>
    <s v="Denver"/>
    <x v="5"/>
    <n v="0.8"/>
    <n v="4750"/>
    <x v="7"/>
    <n v="1140"/>
    <n v="0.3"/>
  </r>
  <r>
    <x v="2"/>
    <x v="2"/>
    <x v="52"/>
    <x v="2"/>
    <s v="Colorado"/>
    <s v="Denver"/>
    <x v="0"/>
    <n v="0.6"/>
    <n v="7250"/>
    <x v="92"/>
    <n v="2175"/>
    <n v="0.5"/>
  </r>
  <r>
    <x v="2"/>
    <x v="2"/>
    <x v="52"/>
    <x v="2"/>
    <s v="Colorado"/>
    <s v="Denver"/>
    <x v="1"/>
    <n v="0.65"/>
    <n v="5750"/>
    <x v="90"/>
    <n v="1308.125"/>
    <n v="0.35"/>
  </r>
  <r>
    <x v="2"/>
    <x v="2"/>
    <x v="52"/>
    <x v="2"/>
    <s v="Colorado"/>
    <s v="Denver"/>
    <x v="2"/>
    <n v="0.65"/>
    <n v="5750"/>
    <x v="90"/>
    <n v="1868.75"/>
    <n v="0.5"/>
  </r>
  <r>
    <x v="2"/>
    <x v="2"/>
    <x v="52"/>
    <x v="2"/>
    <s v="Colorado"/>
    <s v="Denver"/>
    <x v="3"/>
    <n v="0.65"/>
    <n v="4500"/>
    <x v="62"/>
    <n v="1316.2499999999998"/>
    <n v="0.44999999999999996"/>
  </r>
  <r>
    <x v="2"/>
    <x v="2"/>
    <x v="52"/>
    <x v="2"/>
    <s v="Colorado"/>
    <s v="Denver"/>
    <x v="4"/>
    <n v="0.70000000000000007"/>
    <n v="3250"/>
    <x v="154"/>
    <n v="1478.7500000000002"/>
    <n v="0.65000000000000013"/>
  </r>
  <r>
    <x v="2"/>
    <x v="2"/>
    <x v="52"/>
    <x v="2"/>
    <s v="Colorado"/>
    <s v="Denver"/>
    <x v="5"/>
    <n v="0.85000000000000009"/>
    <n v="6250"/>
    <x v="241"/>
    <n v="1593.7500000000002"/>
    <n v="0.3"/>
  </r>
  <r>
    <x v="2"/>
    <x v="2"/>
    <x v="62"/>
    <x v="2"/>
    <s v="Colorado"/>
    <s v="Denver"/>
    <x v="0"/>
    <n v="0.65"/>
    <n v="7750"/>
    <x v="93"/>
    <n v="2266.875"/>
    <n v="0.45"/>
  </r>
  <r>
    <x v="2"/>
    <x v="2"/>
    <x v="62"/>
    <x v="2"/>
    <s v="Colorado"/>
    <s v="Denver"/>
    <x v="1"/>
    <n v="0.70000000000000007"/>
    <n v="6250"/>
    <x v="242"/>
    <n v="1312.5"/>
    <n v="0.3"/>
  </r>
  <r>
    <x v="2"/>
    <x v="2"/>
    <x v="62"/>
    <x v="2"/>
    <s v="Colorado"/>
    <s v="Denver"/>
    <x v="2"/>
    <n v="0.70000000000000007"/>
    <n v="5750"/>
    <x v="243"/>
    <n v="1811.2500000000002"/>
    <n v="0.45"/>
  </r>
  <r>
    <x v="2"/>
    <x v="2"/>
    <x v="62"/>
    <x v="2"/>
    <s v="Colorado"/>
    <s v="Denver"/>
    <x v="3"/>
    <n v="0.65"/>
    <n v="4750"/>
    <x v="197"/>
    <n v="1235"/>
    <n v="0.39999999999999997"/>
  </r>
  <r>
    <x v="2"/>
    <x v="2"/>
    <x v="62"/>
    <x v="2"/>
    <s v="Colorado"/>
    <s v="Denver"/>
    <x v="4"/>
    <n v="0.70000000000000007"/>
    <n v="5250"/>
    <x v="244"/>
    <n v="2205.0000000000005"/>
    <n v="0.60000000000000009"/>
  </r>
  <r>
    <x v="2"/>
    <x v="2"/>
    <x v="62"/>
    <x v="2"/>
    <s v="Colorado"/>
    <s v="Denver"/>
    <x v="5"/>
    <n v="0.85000000000000009"/>
    <n v="5250"/>
    <x v="245"/>
    <n v="1115.6250000000002"/>
    <n v="0.25"/>
  </r>
  <r>
    <x v="2"/>
    <x v="2"/>
    <x v="19"/>
    <x v="2"/>
    <s v="Colorado"/>
    <s v="Denver"/>
    <x v="0"/>
    <n v="0.70000000000000007"/>
    <n v="7250"/>
    <x v="246"/>
    <n v="2283.7500000000005"/>
    <n v="0.45"/>
  </r>
  <r>
    <x v="2"/>
    <x v="2"/>
    <x v="19"/>
    <x v="2"/>
    <s v="Colorado"/>
    <s v="Denver"/>
    <x v="1"/>
    <n v="0.75000000000000011"/>
    <n v="6750"/>
    <x v="247"/>
    <n v="1518.7500000000002"/>
    <n v="0.3"/>
  </r>
  <r>
    <x v="2"/>
    <x v="2"/>
    <x v="19"/>
    <x v="2"/>
    <s v="Colorado"/>
    <s v="Denver"/>
    <x v="2"/>
    <n v="0.70000000000000007"/>
    <n v="5500"/>
    <x v="104"/>
    <n v="1732.5000000000002"/>
    <n v="0.45"/>
  </r>
  <r>
    <x v="2"/>
    <x v="2"/>
    <x v="19"/>
    <x v="2"/>
    <s v="Colorado"/>
    <s v="Denver"/>
    <x v="3"/>
    <n v="0.70000000000000007"/>
    <n v="5000"/>
    <x v="248"/>
    <n v="1400"/>
    <n v="0.39999999999999997"/>
  </r>
  <r>
    <x v="2"/>
    <x v="2"/>
    <x v="19"/>
    <x v="2"/>
    <s v="Colorado"/>
    <s v="Denver"/>
    <x v="4"/>
    <n v="0.75"/>
    <n v="5000"/>
    <x v="69"/>
    <n v="2250.0000000000005"/>
    <n v="0.60000000000000009"/>
  </r>
  <r>
    <x v="2"/>
    <x v="2"/>
    <x v="19"/>
    <x v="2"/>
    <s v="Colorado"/>
    <s v="Denver"/>
    <x v="5"/>
    <n v="0.8"/>
    <n v="4000"/>
    <x v="55"/>
    <n v="800"/>
    <n v="0.25"/>
  </r>
  <r>
    <x v="2"/>
    <x v="2"/>
    <x v="63"/>
    <x v="2"/>
    <s v="Colorado"/>
    <s v="Denver"/>
    <x v="0"/>
    <n v="0.65000000000000013"/>
    <n v="6000"/>
    <x v="216"/>
    <n v="1560.0000000000005"/>
    <n v="0.4"/>
  </r>
  <r>
    <x v="2"/>
    <x v="2"/>
    <x v="63"/>
    <x v="2"/>
    <s v="Colorado"/>
    <s v="Denver"/>
    <x v="1"/>
    <n v="0.70000000000000018"/>
    <n v="6000"/>
    <x v="249"/>
    <n v="1050.0000000000002"/>
    <n v="0.25"/>
  </r>
  <r>
    <x v="2"/>
    <x v="2"/>
    <x v="63"/>
    <x v="2"/>
    <s v="Colorado"/>
    <s v="Denver"/>
    <x v="2"/>
    <n v="0.65000000000000013"/>
    <n v="4500"/>
    <x v="250"/>
    <n v="1170.0000000000002"/>
    <n v="0.4"/>
  </r>
  <r>
    <x v="2"/>
    <x v="2"/>
    <x v="63"/>
    <x v="2"/>
    <s v="Colorado"/>
    <s v="Denver"/>
    <x v="3"/>
    <n v="0.65000000000000013"/>
    <n v="4000"/>
    <x v="251"/>
    <n v="910.00000000000011"/>
    <n v="0.35"/>
  </r>
  <r>
    <x v="2"/>
    <x v="2"/>
    <x v="63"/>
    <x v="2"/>
    <s v="Colorado"/>
    <s v="Denver"/>
    <x v="4"/>
    <n v="0.75000000000000011"/>
    <n v="4000"/>
    <x v="252"/>
    <n v="1650.0000000000007"/>
    <n v="0.55000000000000016"/>
  </r>
  <r>
    <x v="2"/>
    <x v="2"/>
    <x v="63"/>
    <x v="2"/>
    <s v="Colorado"/>
    <s v="Denver"/>
    <x v="5"/>
    <n v="0.70000000000000007"/>
    <n v="4250"/>
    <x v="253"/>
    <n v="595.00000000000011"/>
    <n v="0.2"/>
  </r>
  <r>
    <x v="2"/>
    <x v="2"/>
    <x v="55"/>
    <x v="2"/>
    <s v="Colorado"/>
    <s v="Denver"/>
    <x v="0"/>
    <n v="0.55000000000000004"/>
    <n v="5250"/>
    <x v="170"/>
    <n v="1155.0000000000002"/>
    <n v="0.4"/>
  </r>
  <r>
    <x v="2"/>
    <x v="2"/>
    <x v="55"/>
    <x v="2"/>
    <s v="Colorado"/>
    <s v="Denver"/>
    <x v="1"/>
    <n v="0.60000000000000009"/>
    <n v="5250"/>
    <x v="254"/>
    <n v="787.50000000000011"/>
    <n v="0.25"/>
  </r>
  <r>
    <x v="2"/>
    <x v="2"/>
    <x v="55"/>
    <x v="2"/>
    <s v="Colorado"/>
    <s v="Denver"/>
    <x v="2"/>
    <n v="0.55000000000000004"/>
    <n v="3500"/>
    <x v="136"/>
    <n v="770.00000000000011"/>
    <n v="0.4"/>
  </r>
  <r>
    <x v="2"/>
    <x v="2"/>
    <x v="55"/>
    <x v="2"/>
    <s v="Colorado"/>
    <s v="Denver"/>
    <x v="3"/>
    <n v="0.55000000000000004"/>
    <n v="3250"/>
    <x v="255"/>
    <n v="625.625"/>
    <n v="0.35"/>
  </r>
  <r>
    <x v="2"/>
    <x v="2"/>
    <x v="55"/>
    <x v="2"/>
    <s v="Colorado"/>
    <s v="Denver"/>
    <x v="4"/>
    <n v="0.65"/>
    <n v="3000"/>
    <x v="212"/>
    <n v="1072.5000000000002"/>
    <n v="0.55000000000000016"/>
  </r>
  <r>
    <x v="2"/>
    <x v="2"/>
    <x v="55"/>
    <x v="2"/>
    <s v="Colorado"/>
    <s v="Denver"/>
    <x v="5"/>
    <n v="0.70000000000000007"/>
    <n v="3500"/>
    <x v="196"/>
    <n v="490.00000000000011"/>
    <n v="0.2"/>
  </r>
  <r>
    <x v="2"/>
    <x v="2"/>
    <x v="64"/>
    <x v="2"/>
    <s v="Colorado"/>
    <s v="Denver"/>
    <x v="0"/>
    <n v="0.55000000000000004"/>
    <n v="5750"/>
    <x v="76"/>
    <n v="1265.0000000000002"/>
    <n v="0.4"/>
  </r>
  <r>
    <x v="2"/>
    <x v="2"/>
    <x v="64"/>
    <x v="2"/>
    <s v="Colorado"/>
    <s v="Denver"/>
    <x v="1"/>
    <n v="0.60000000000000009"/>
    <n v="5750"/>
    <x v="225"/>
    <n v="862.50000000000011"/>
    <n v="0.25"/>
  </r>
  <r>
    <x v="2"/>
    <x v="2"/>
    <x v="64"/>
    <x v="2"/>
    <s v="Colorado"/>
    <s v="Denver"/>
    <x v="2"/>
    <n v="0.55000000000000004"/>
    <n v="4250"/>
    <x v="256"/>
    <n v="935"/>
    <n v="0.4"/>
  </r>
  <r>
    <x v="2"/>
    <x v="2"/>
    <x v="64"/>
    <x v="2"/>
    <s v="Colorado"/>
    <s v="Denver"/>
    <x v="3"/>
    <n v="0.65000000000000013"/>
    <n v="4000"/>
    <x v="251"/>
    <n v="910.00000000000011"/>
    <n v="0.35"/>
  </r>
  <r>
    <x v="2"/>
    <x v="2"/>
    <x v="64"/>
    <x v="2"/>
    <s v="Colorado"/>
    <s v="Denver"/>
    <x v="4"/>
    <n v="0.75000000000000011"/>
    <n v="3750"/>
    <x v="224"/>
    <n v="1546.8750000000007"/>
    <n v="0.55000000000000016"/>
  </r>
  <r>
    <x v="2"/>
    <x v="2"/>
    <x v="64"/>
    <x v="2"/>
    <s v="Colorado"/>
    <s v="Denver"/>
    <x v="5"/>
    <n v="0.80000000000000016"/>
    <n v="5000"/>
    <x v="257"/>
    <n v="800.00000000000023"/>
    <n v="0.2"/>
  </r>
  <r>
    <x v="2"/>
    <x v="2"/>
    <x v="65"/>
    <x v="2"/>
    <s v="Colorado"/>
    <s v="Denver"/>
    <x v="0"/>
    <n v="0.65000000000000013"/>
    <n v="7000"/>
    <x v="258"/>
    <n v="1820.0000000000005"/>
    <n v="0.4"/>
  </r>
  <r>
    <x v="2"/>
    <x v="2"/>
    <x v="65"/>
    <x v="2"/>
    <s v="Colorado"/>
    <s v="Denver"/>
    <x v="1"/>
    <n v="0.70000000000000018"/>
    <n v="7000"/>
    <x v="107"/>
    <n v="1225.0000000000002"/>
    <n v="0.25"/>
  </r>
  <r>
    <x v="2"/>
    <x v="2"/>
    <x v="65"/>
    <x v="2"/>
    <s v="Colorado"/>
    <s v="Denver"/>
    <x v="2"/>
    <n v="0.65000000000000013"/>
    <n v="5000"/>
    <x v="259"/>
    <n v="1300.0000000000002"/>
    <n v="0.4"/>
  </r>
  <r>
    <x v="2"/>
    <x v="2"/>
    <x v="65"/>
    <x v="2"/>
    <s v="Colorado"/>
    <s v="Denver"/>
    <x v="3"/>
    <n v="0.65000000000000013"/>
    <n v="5000"/>
    <x v="259"/>
    <n v="1137.5"/>
    <n v="0.35"/>
  </r>
  <r>
    <x v="2"/>
    <x v="2"/>
    <x v="65"/>
    <x v="2"/>
    <s v="Colorado"/>
    <s v="Denver"/>
    <x v="4"/>
    <n v="0.75000000000000011"/>
    <n v="4250"/>
    <x v="260"/>
    <n v="1753.1250000000007"/>
    <n v="0.55000000000000016"/>
  </r>
  <r>
    <x v="2"/>
    <x v="2"/>
    <x v="65"/>
    <x v="2"/>
    <s v="Colorado"/>
    <s v="Denver"/>
    <x v="5"/>
    <n v="0.80000000000000016"/>
    <n v="5250"/>
    <x v="249"/>
    <n v="840.00000000000023"/>
    <n v="0.2"/>
  </r>
  <r>
    <x v="2"/>
    <x v="2"/>
    <x v="66"/>
    <x v="2"/>
    <s v="Washington"/>
    <s v="Seattle"/>
    <x v="0"/>
    <n v="0.4"/>
    <n v="4500"/>
    <x v="207"/>
    <n v="540"/>
    <n v="0.3"/>
  </r>
  <r>
    <x v="2"/>
    <x v="2"/>
    <x v="66"/>
    <x v="2"/>
    <s v="Washington"/>
    <s v="Seattle"/>
    <x v="1"/>
    <n v="0.5"/>
    <n v="4500"/>
    <x v="39"/>
    <n v="562.5"/>
    <n v="0.25"/>
  </r>
  <r>
    <x v="2"/>
    <x v="2"/>
    <x v="66"/>
    <x v="2"/>
    <s v="Washington"/>
    <s v="Seattle"/>
    <x v="2"/>
    <n v="0.5"/>
    <n v="4500"/>
    <x v="39"/>
    <n v="562.5"/>
    <n v="0.25"/>
  </r>
  <r>
    <x v="2"/>
    <x v="2"/>
    <x v="66"/>
    <x v="2"/>
    <s v="Washington"/>
    <s v="Seattle"/>
    <x v="3"/>
    <n v="0.5"/>
    <n v="3000"/>
    <x v="146"/>
    <n v="450"/>
    <n v="0.3"/>
  </r>
  <r>
    <x v="2"/>
    <x v="2"/>
    <x v="66"/>
    <x v="2"/>
    <s v="Washington"/>
    <s v="Seattle"/>
    <x v="4"/>
    <n v="0.55000000000000004"/>
    <n v="2500"/>
    <x v="140"/>
    <n v="343.75"/>
    <n v="0.25"/>
  </r>
  <r>
    <x v="2"/>
    <x v="2"/>
    <x v="66"/>
    <x v="2"/>
    <s v="Washington"/>
    <s v="Seattle"/>
    <x v="5"/>
    <n v="0.5"/>
    <n v="5000"/>
    <x v="54"/>
    <n v="500"/>
    <n v="0.2"/>
  </r>
  <r>
    <x v="2"/>
    <x v="2"/>
    <x v="67"/>
    <x v="2"/>
    <s v="Washington"/>
    <s v="Seattle"/>
    <x v="0"/>
    <n v="0.4"/>
    <n v="5500"/>
    <x v="42"/>
    <n v="660"/>
    <n v="0.3"/>
  </r>
  <r>
    <x v="2"/>
    <x v="2"/>
    <x v="67"/>
    <x v="2"/>
    <s v="Washington"/>
    <s v="Seattle"/>
    <x v="1"/>
    <n v="0.5"/>
    <n v="4500"/>
    <x v="39"/>
    <n v="562.5"/>
    <n v="0.25"/>
  </r>
  <r>
    <x v="2"/>
    <x v="2"/>
    <x v="67"/>
    <x v="2"/>
    <s v="Washington"/>
    <s v="Seattle"/>
    <x v="2"/>
    <n v="0.5"/>
    <n v="4500"/>
    <x v="39"/>
    <n v="562.5"/>
    <n v="0.25"/>
  </r>
  <r>
    <x v="2"/>
    <x v="2"/>
    <x v="67"/>
    <x v="2"/>
    <s v="Washington"/>
    <s v="Seattle"/>
    <x v="3"/>
    <n v="0.5"/>
    <n v="3000"/>
    <x v="146"/>
    <n v="450"/>
    <n v="0.3"/>
  </r>
  <r>
    <x v="2"/>
    <x v="2"/>
    <x v="67"/>
    <x v="2"/>
    <s v="Washington"/>
    <s v="Seattle"/>
    <x v="4"/>
    <n v="0.55000000000000004"/>
    <n v="2250"/>
    <x v="116"/>
    <n v="309.375"/>
    <n v="0.25"/>
  </r>
  <r>
    <x v="2"/>
    <x v="2"/>
    <x v="67"/>
    <x v="2"/>
    <s v="Washington"/>
    <s v="Seattle"/>
    <x v="5"/>
    <n v="0.5"/>
    <n v="4250"/>
    <x v="43"/>
    <n v="425"/>
    <n v="0.2"/>
  </r>
  <r>
    <x v="2"/>
    <x v="2"/>
    <x v="68"/>
    <x v="2"/>
    <s v="Washington"/>
    <s v="Seattle"/>
    <x v="0"/>
    <n v="0.5"/>
    <n v="5750"/>
    <x v="79"/>
    <n v="862.5"/>
    <n v="0.3"/>
  </r>
  <r>
    <x v="2"/>
    <x v="2"/>
    <x v="68"/>
    <x v="2"/>
    <s v="Washington"/>
    <s v="Seattle"/>
    <x v="1"/>
    <n v="0.6"/>
    <n v="4250"/>
    <x v="141"/>
    <n v="637.5"/>
    <n v="0.25"/>
  </r>
  <r>
    <x v="2"/>
    <x v="2"/>
    <x v="68"/>
    <x v="2"/>
    <s v="Washington"/>
    <s v="Seattle"/>
    <x v="2"/>
    <n v="0.64999999999999991"/>
    <n v="4250"/>
    <x v="261"/>
    <n v="690.62499999999989"/>
    <n v="0.25"/>
  </r>
  <r>
    <x v="2"/>
    <x v="2"/>
    <x v="68"/>
    <x v="2"/>
    <s v="Washington"/>
    <s v="Seattle"/>
    <x v="3"/>
    <n v="0.64999999999999991"/>
    <n v="3250"/>
    <x v="262"/>
    <n v="633.74999999999989"/>
    <n v="0.3"/>
  </r>
  <r>
    <x v="2"/>
    <x v="2"/>
    <x v="68"/>
    <x v="2"/>
    <s v="Washington"/>
    <s v="Seattle"/>
    <x v="4"/>
    <n v="0.7"/>
    <n v="1750"/>
    <x v="263"/>
    <n v="306.25"/>
    <n v="0.25"/>
  </r>
  <r>
    <x v="2"/>
    <x v="2"/>
    <x v="68"/>
    <x v="2"/>
    <s v="Washington"/>
    <s v="Seattle"/>
    <x v="5"/>
    <n v="0.64999999999999991"/>
    <n v="3750"/>
    <x v="264"/>
    <n v="487.49999999999994"/>
    <n v="0.2"/>
  </r>
  <r>
    <x v="2"/>
    <x v="2"/>
    <x v="69"/>
    <x v="2"/>
    <s v="Washington"/>
    <s v="Seattle"/>
    <x v="0"/>
    <n v="0.7"/>
    <n v="5500"/>
    <x v="265"/>
    <n v="1154.9999999999998"/>
    <n v="0.3"/>
  </r>
  <r>
    <x v="2"/>
    <x v="2"/>
    <x v="69"/>
    <x v="2"/>
    <s v="Washington"/>
    <s v="Seattle"/>
    <x v="1"/>
    <n v="0.75"/>
    <n v="3500"/>
    <x v="48"/>
    <n v="656.25"/>
    <n v="0.25"/>
  </r>
  <r>
    <x v="2"/>
    <x v="2"/>
    <x v="69"/>
    <x v="2"/>
    <s v="Washington"/>
    <s v="Seattle"/>
    <x v="2"/>
    <n v="0.75"/>
    <n v="4000"/>
    <x v="61"/>
    <n v="750"/>
    <n v="0.25"/>
  </r>
  <r>
    <x v="2"/>
    <x v="2"/>
    <x v="69"/>
    <x v="2"/>
    <s v="Washington"/>
    <s v="Seattle"/>
    <x v="3"/>
    <n v="0.6"/>
    <n v="3000"/>
    <x v="207"/>
    <n v="540"/>
    <n v="0.3"/>
  </r>
  <r>
    <x v="2"/>
    <x v="2"/>
    <x v="69"/>
    <x v="2"/>
    <s v="Washington"/>
    <s v="Seattle"/>
    <x v="4"/>
    <n v="0.65"/>
    <n v="2000"/>
    <x v="194"/>
    <n v="325"/>
    <n v="0.25"/>
  </r>
  <r>
    <x v="2"/>
    <x v="2"/>
    <x v="69"/>
    <x v="2"/>
    <s v="Washington"/>
    <s v="Seattle"/>
    <x v="5"/>
    <n v="0.8"/>
    <n v="3500"/>
    <x v="59"/>
    <n v="560"/>
    <n v="0.2"/>
  </r>
  <r>
    <x v="2"/>
    <x v="2"/>
    <x v="70"/>
    <x v="2"/>
    <s v="Washington"/>
    <s v="Seattle"/>
    <x v="0"/>
    <n v="0.6"/>
    <n v="5500"/>
    <x v="211"/>
    <n v="990"/>
    <n v="0.3"/>
  </r>
  <r>
    <x v="2"/>
    <x v="2"/>
    <x v="70"/>
    <x v="2"/>
    <s v="Washington"/>
    <s v="Seattle"/>
    <x v="1"/>
    <n v="0.65"/>
    <n v="4000"/>
    <x v="51"/>
    <n v="650"/>
    <n v="0.25"/>
  </r>
  <r>
    <x v="2"/>
    <x v="2"/>
    <x v="70"/>
    <x v="2"/>
    <s v="Washington"/>
    <s v="Seattle"/>
    <x v="2"/>
    <n v="0.65"/>
    <n v="4000"/>
    <x v="51"/>
    <n v="650"/>
    <n v="0.25"/>
  </r>
  <r>
    <x v="2"/>
    <x v="2"/>
    <x v="70"/>
    <x v="2"/>
    <s v="Washington"/>
    <s v="Seattle"/>
    <x v="3"/>
    <n v="0.6"/>
    <n v="3000"/>
    <x v="207"/>
    <n v="540"/>
    <n v="0.3"/>
  </r>
  <r>
    <x v="2"/>
    <x v="2"/>
    <x v="70"/>
    <x v="2"/>
    <s v="Washington"/>
    <s v="Seattle"/>
    <x v="4"/>
    <n v="0.65"/>
    <n v="2000"/>
    <x v="194"/>
    <n v="325"/>
    <n v="0.25"/>
  </r>
  <r>
    <x v="2"/>
    <x v="2"/>
    <x v="70"/>
    <x v="2"/>
    <s v="Washington"/>
    <s v="Seattle"/>
    <x v="5"/>
    <n v="0.8"/>
    <n v="5000"/>
    <x v="2"/>
    <n v="800"/>
    <n v="0.2"/>
  </r>
  <r>
    <x v="2"/>
    <x v="2"/>
    <x v="71"/>
    <x v="2"/>
    <s v="Washington"/>
    <s v="Seattle"/>
    <x v="0"/>
    <n v="0.75"/>
    <n v="7500"/>
    <x v="98"/>
    <n v="1687.5"/>
    <n v="0.3"/>
  </r>
  <r>
    <x v="2"/>
    <x v="2"/>
    <x v="71"/>
    <x v="2"/>
    <s v="Washington"/>
    <s v="Seattle"/>
    <x v="1"/>
    <n v="0.8"/>
    <n v="6250"/>
    <x v="1"/>
    <n v="1250"/>
    <n v="0.25"/>
  </r>
  <r>
    <x v="2"/>
    <x v="2"/>
    <x v="71"/>
    <x v="2"/>
    <s v="Washington"/>
    <s v="Seattle"/>
    <x v="2"/>
    <n v="0.8"/>
    <n v="6250"/>
    <x v="1"/>
    <n v="1250"/>
    <n v="0.25"/>
  </r>
  <r>
    <x v="2"/>
    <x v="2"/>
    <x v="71"/>
    <x v="2"/>
    <s v="Washington"/>
    <s v="Seattle"/>
    <x v="3"/>
    <n v="0.8"/>
    <n v="5000"/>
    <x v="2"/>
    <n v="1200"/>
    <n v="0.3"/>
  </r>
  <r>
    <x v="2"/>
    <x v="2"/>
    <x v="71"/>
    <x v="2"/>
    <s v="Washington"/>
    <s v="Seattle"/>
    <x v="4"/>
    <n v="0.85000000000000009"/>
    <n v="3750"/>
    <x v="260"/>
    <n v="796.87500000000011"/>
    <n v="0.25"/>
  </r>
  <r>
    <x v="2"/>
    <x v="2"/>
    <x v="71"/>
    <x v="2"/>
    <s v="Washington"/>
    <s v="Seattle"/>
    <x v="5"/>
    <n v="1"/>
    <n v="6750"/>
    <x v="266"/>
    <n v="1350"/>
    <n v="0.2"/>
  </r>
  <r>
    <x v="2"/>
    <x v="2"/>
    <x v="72"/>
    <x v="2"/>
    <s v="Washington"/>
    <s v="Seattle"/>
    <x v="0"/>
    <n v="0.8"/>
    <n v="8250"/>
    <x v="267"/>
    <n v="1980"/>
    <n v="0.3"/>
  </r>
  <r>
    <x v="2"/>
    <x v="2"/>
    <x v="72"/>
    <x v="2"/>
    <s v="Washington"/>
    <s v="Seattle"/>
    <x v="1"/>
    <n v="0.85000000000000009"/>
    <n v="6750"/>
    <x v="268"/>
    <n v="1434.3750000000002"/>
    <n v="0.25"/>
  </r>
  <r>
    <x v="2"/>
    <x v="2"/>
    <x v="72"/>
    <x v="2"/>
    <s v="Washington"/>
    <s v="Seattle"/>
    <x v="2"/>
    <n v="0.85000000000000009"/>
    <n v="6250"/>
    <x v="241"/>
    <n v="1328.1250000000002"/>
    <n v="0.25"/>
  </r>
  <r>
    <x v="2"/>
    <x v="2"/>
    <x v="72"/>
    <x v="2"/>
    <s v="Washington"/>
    <s v="Seattle"/>
    <x v="3"/>
    <n v="0.8"/>
    <n v="5250"/>
    <x v="81"/>
    <n v="1260"/>
    <n v="0.3"/>
  </r>
  <r>
    <x v="2"/>
    <x v="2"/>
    <x v="72"/>
    <x v="2"/>
    <s v="Washington"/>
    <s v="Seattle"/>
    <x v="4"/>
    <n v="0.85000000000000009"/>
    <n v="5750"/>
    <x v="269"/>
    <n v="1221.8750000000002"/>
    <n v="0.25"/>
  </r>
  <r>
    <x v="2"/>
    <x v="2"/>
    <x v="72"/>
    <x v="2"/>
    <s v="Washington"/>
    <s v="Seattle"/>
    <x v="5"/>
    <n v="1"/>
    <n v="5750"/>
    <x v="270"/>
    <n v="1150"/>
    <n v="0.2"/>
  </r>
  <r>
    <x v="2"/>
    <x v="2"/>
    <x v="73"/>
    <x v="2"/>
    <s v="Washington"/>
    <s v="Seattle"/>
    <x v="0"/>
    <n v="0.85000000000000009"/>
    <n v="7750"/>
    <x v="271"/>
    <n v="1976.2500000000002"/>
    <n v="0.3"/>
  </r>
  <r>
    <x v="2"/>
    <x v="2"/>
    <x v="73"/>
    <x v="2"/>
    <s v="Washington"/>
    <s v="Seattle"/>
    <x v="1"/>
    <n v="0.80000000000000016"/>
    <n v="7500"/>
    <x v="272"/>
    <n v="1500.0000000000002"/>
    <n v="0.25"/>
  </r>
  <r>
    <x v="2"/>
    <x v="2"/>
    <x v="73"/>
    <x v="2"/>
    <s v="Washington"/>
    <s v="Seattle"/>
    <x v="2"/>
    <n v="0.75000000000000011"/>
    <n v="6250"/>
    <x v="273"/>
    <n v="1171.8750000000002"/>
    <n v="0.25"/>
  </r>
  <r>
    <x v="2"/>
    <x v="2"/>
    <x v="73"/>
    <x v="2"/>
    <s v="Washington"/>
    <s v="Seattle"/>
    <x v="3"/>
    <n v="0.75000000000000011"/>
    <n v="5750"/>
    <x v="274"/>
    <n v="1293.7500000000002"/>
    <n v="0.3"/>
  </r>
  <r>
    <x v="2"/>
    <x v="2"/>
    <x v="73"/>
    <x v="2"/>
    <s v="Washington"/>
    <s v="Seattle"/>
    <x v="4"/>
    <n v="0.75"/>
    <n v="5750"/>
    <x v="275"/>
    <n v="1078.125"/>
    <n v="0.25"/>
  </r>
  <r>
    <x v="2"/>
    <x v="2"/>
    <x v="73"/>
    <x v="2"/>
    <s v="Washington"/>
    <s v="Seattle"/>
    <x v="5"/>
    <n v="0.8"/>
    <n v="4000"/>
    <x v="55"/>
    <n v="640"/>
    <n v="0.2"/>
  </r>
  <r>
    <x v="2"/>
    <x v="2"/>
    <x v="74"/>
    <x v="2"/>
    <s v="Washington"/>
    <s v="Seattle"/>
    <x v="0"/>
    <n v="0.70000000000000018"/>
    <n v="6000"/>
    <x v="249"/>
    <n v="1260.0000000000002"/>
    <n v="0.3"/>
  </r>
  <r>
    <x v="2"/>
    <x v="2"/>
    <x v="74"/>
    <x v="2"/>
    <s v="Washington"/>
    <s v="Seattle"/>
    <x v="1"/>
    <n v="0.75000000000000022"/>
    <n v="6000"/>
    <x v="276"/>
    <n v="1125.0000000000002"/>
    <n v="0.25"/>
  </r>
  <r>
    <x v="2"/>
    <x v="2"/>
    <x v="74"/>
    <x v="2"/>
    <s v="Washington"/>
    <s v="Seattle"/>
    <x v="2"/>
    <n v="0.70000000000000018"/>
    <n v="4500"/>
    <x v="277"/>
    <n v="787.50000000000023"/>
    <n v="0.25"/>
  </r>
  <r>
    <x v="2"/>
    <x v="2"/>
    <x v="74"/>
    <x v="2"/>
    <s v="Washington"/>
    <s v="Seattle"/>
    <x v="3"/>
    <n v="0.70000000000000018"/>
    <n v="4000"/>
    <x v="278"/>
    <n v="840.00000000000023"/>
    <n v="0.3"/>
  </r>
  <r>
    <x v="2"/>
    <x v="2"/>
    <x v="74"/>
    <x v="2"/>
    <s v="Washington"/>
    <s v="Seattle"/>
    <x v="4"/>
    <n v="0.80000000000000016"/>
    <n v="4250"/>
    <x v="279"/>
    <n v="850.00000000000011"/>
    <n v="0.25"/>
  </r>
  <r>
    <x v="2"/>
    <x v="2"/>
    <x v="74"/>
    <x v="2"/>
    <s v="Washington"/>
    <s v="Seattle"/>
    <x v="5"/>
    <n v="0.65"/>
    <n v="4500"/>
    <x v="62"/>
    <n v="585"/>
    <n v="0.2"/>
  </r>
  <r>
    <x v="2"/>
    <x v="2"/>
    <x v="75"/>
    <x v="2"/>
    <s v="Washington"/>
    <s v="Seattle"/>
    <x v="0"/>
    <n v="0.60000000000000009"/>
    <n v="5500"/>
    <x v="221"/>
    <n v="990.00000000000011"/>
    <n v="0.3"/>
  </r>
  <r>
    <x v="2"/>
    <x v="2"/>
    <x v="75"/>
    <x v="2"/>
    <s v="Washington"/>
    <s v="Seattle"/>
    <x v="1"/>
    <n v="0.65000000000000013"/>
    <n v="5500"/>
    <x v="222"/>
    <n v="893.75000000000023"/>
    <n v="0.25"/>
  </r>
  <r>
    <x v="2"/>
    <x v="2"/>
    <x v="75"/>
    <x v="2"/>
    <s v="Washington"/>
    <s v="Seattle"/>
    <x v="2"/>
    <n v="0.60000000000000009"/>
    <n v="3750"/>
    <x v="223"/>
    <n v="562.50000000000011"/>
    <n v="0.25"/>
  </r>
  <r>
    <x v="2"/>
    <x v="2"/>
    <x v="75"/>
    <x v="2"/>
    <s v="Washington"/>
    <s v="Seattle"/>
    <x v="3"/>
    <n v="0.60000000000000009"/>
    <n v="3500"/>
    <x v="162"/>
    <n v="630.00000000000011"/>
    <n v="0.3"/>
  </r>
  <r>
    <x v="2"/>
    <x v="2"/>
    <x v="75"/>
    <x v="2"/>
    <s v="Washington"/>
    <s v="Seattle"/>
    <x v="4"/>
    <n v="0.70000000000000007"/>
    <n v="3250"/>
    <x v="154"/>
    <n v="568.75"/>
    <n v="0.25"/>
  </r>
  <r>
    <x v="2"/>
    <x v="2"/>
    <x v="75"/>
    <x v="2"/>
    <s v="Washington"/>
    <s v="Seattle"/>
    <x v="5"/>
    <n v="0.75000000000000011"/>
    <n v="3750"/>
    <x v="224"/>
    <n v="562.50000000000011"/>
    <n v="0.2"/>
  </r>
  <r>
    <x v="2"/>
    <x v="2"/>
    <x v="76"/>
    <x v="2"/>
    <s v="Washington"/>
    <s v="Seattle"/>
    <x v="0"/>
    <n v="0.60000000000000009"/>
    <n v="6000"/>
    <x v="215"/>
    <n v="1080"/>
    <n v="0.3"/>
  </r>
  <r>
    <x v="2"/>
    <x v="2"/>
    <x v="76"/>
    <x v="2"/>
    <s v="Washington"/>
    <s v="Seattle"/>
    <x v="1"/>
    <n v="0.65000000000000013"/>
    <n v="6250"/>
    <x v="280"/>
    <n v="1015.6250000000002"/>
    <n v="0.25"/>
  </r>
  <r>
    <x v="2"/>
    <x v="2"/>
    <x v="76"/>
    <x v="2"/>
    <s v="Washington"/>
    <s v="Seattle"/>
    <x v="2"/>
    <n v="0.60000000000000009"/>
    <n v="4750"/>
    <x v="231"/>
    <n v="712.50000000000011"/>
    <n v="0.25"/>
  </r>
  <r>
    <x v="2"/>
    <x v="2"/>
    <x v="76"/>
    <x v="2"/>
    <s v="Washington"/>
    <s v="Seattle"/>
    <x v="3"/>
    <n v="0.70000000000000018"/>
    <n v="4500"/>
    <x v="277"/>
    <n v="945.00000000000023"/>
    <n v="0.3"/>
  </r>
  <r>
    <x v="2"/>
    <x v="2"/>
    <x v="76"/>
    <x v="2"/>
    <s v="Washington"/>
    <s v="Seattle"/>
    <x v="4"/>
    <n v="0.90000000000000013"/>
    <n v="4250"/>
    <x v="281"/>
    <n v="956.25000000000011"/>
    <n v="0.25"/>
  </r>
  <r>
    <x v="2"/>
    <x v="2"/>
    <x v="76"/>
    <x v="2"/>
    <s v="Washington"/>
    <s v="Seattle"/>
    <x v="5"/>
    <n v="0.95000000000000018"/>
    <n v="5500"/>
    <x v="282"/>
    <n v="1045.0000000000002"/>
    <n v="0.2"/>
  </r>
  <r>
    <x v="2"/>
    <x v="2"/>
    <x v="77"/>
    <x v="2"/>
    <s v="Washington"/>
    <s v="Seattle"/>
    <x v="0"/>
    <n v="0.80000000000000016"/>
    <n v="7500"/>
    <x v="272"/>
    <n v="1800.0000000000002"/>
    <n v="0.3"/>
  </r>
  <r>
    <x v="2"/>
    <x v="2"/>
    <x v="77"/>
    <x v="2"/>
    <s v="Washington"/>
    <s v="Seattle"/>
    <x v="1"/>
    <n v="0.8500000000000002"/>
    <n v="7500"/>
    <x v="283"/>
    <n v="1593.7500000000005"/>
    <n v="0.25"/>
  </r>
  <r>
    <x v="2"/>
    <x v="2"/>
    <x v="77"/>
    <x v="2"/>
    <s v="Washington"/>
    <s v="Seattle"/>
    <x v="2"/>
    <n v="0.80000000000000016"/>
    <n v="5500"/>
    <x v="284"/>
    <n v="1100.0000000000002"/>
    <n v="0.25"/>
  </r>
  <r>
    <x v="2"/>
    <x v="2"/>
    <x v="77"/>
    <x v="2"/>
    <s v="Washington"/>
    <s v="Seattle"/>
    <x v="3"/>
    <n v="0.80000000000000016"/>
    <n v="5500"/>
    <x v="284"/>
    <n v="1320.0000000000002"/>
    <n v="0.3"/>
  </r>
  <r>
    <x v="2"/>
    <x v="2"/>
    <x v="77"/>
    <x v="2"/>
    <s v="Washington"/>
    <s v="Seattle"/>
    <x v="4"/>
    <n v="0.90000000000000013"/>
    <n v="4750"/>
    <x v="285"/>
    <n v="1068.7500000000002"/>
    <n v="0.25"/>
  </r>
  <r>
    <x v="2"/>
    <x v="2"/>
    <x v="77"/>
    <x v="2"/>
    <s v="Washington"/>
    <s v="Seattle"/>
    <x v="5"/>
    <n v="0.95000000000000018"/>
    <n v="5750"/>
    <x v="286"/>
    <n v="1092.5000000000002"/>
    <n v="0.2"/>
  </r>
  <r>
    <x v="0"/>
    <x v="0"/>
    <x v="78"/>
    <x v="4"/>
    <s v="Florida"/>
    <s v="Miami"/>
    <x v="0"/>
    <n v="0.45"/>
    <n v="10500"/>
    <x v="176"/>
    <n v="2126.25"/>
    <n v="0.45"/>
  </r>
  <r>
    <x v="0"/>
    <x v="0"/>
    <x v="78"/>
    <x v="4"/>
    <s v="Florida"/>
    <s v="Miami"/>
    <x v="1"/>
    <n v="0.45"/>
    <n v="8500"/>
    <x v="3"/>
    <n v="1338.75"/>
    <n v="0.35"/>
  </r>
  <r>
    <x v="0"/>
    <x v="0"/>
    <x v="78"/>
    <x v="4"/>
    <s v="Florida"/>
    <s v="Miami"/>
    <x v="2"/>
    <n v="0.35000000000000003"/>
    <n v="8500"/>
    <x v="253"/>
    <n v="743.75000000000011"/>
    <n v="0.25"/>
  </r>
  <r>
    <x v="0"/>
    <x v="0"/>
    <x v="78"/>
    <x v="4"/>
    <s v="Florida"/>
    <s v="Miami"/>
    <x v="3"/>
    <n v="0.39999999999999997"/>
    <n v="7000"/>
    <x v="287"/>
    <n v="839.99999999999989"/>
    <n v="0.3"/>
  </r>
  <r>
    <x v="0"/>
    <x v="0"/>
    <x v="78"/>
    <x v="4"/>
    <s v="Florida"/>
    <s v="Miami"/>
    <x v="4"/>
    <n v="0.55000000000000004"/>
    <n v="7500"/>
    <x v="71"/>
    <n v="1443.75"/>
    <n v="0.35"/>
  </r>
  <r>
    <x v="0"/>
    <x v="0"/>
    <x v="78"/>
    <x v="4"/>
    <s v="Florida"/>
    <s v="Miami"/>
    <x v="5"/>
    <n v="0.45"/>
    <n v="8500"/>
    <x v="3"/>
    <n v="1912.5"/>
    <n v="0.5"/>
  </r>
  <r>
    <x v="0"/>
    <x v="0"/>
    <x v="79"/>
    <x v="4"/>
    <s v="Florida"/>
    <s v="Miami"/>
    <x v="0"/>
    <n v="0.45"/>
    <n v="11000"/>
    <x v="14"/>
    <n v="2227.5"/>
    <n v="0.45"/>
  </r>
  <r>
    <x v="0"/>
    <x v="0"/>
    <x v="79"/>
    <x v="4"/>
    <s v="Florida"/>
    <s v="Miami"/>
    <x v="1"/>
    <n v="0.45"/>
    <n v="7500"/>
    <x v="73"/>
    <n v="1181.25"/>
    <n v="0.35"/>
  </r>
  <r>
    <x v="0"/>
    <x v="0"/>
    <x v="79"/>
    <x v="4"/>
    <s v="Florida"/>
    <s v="Miami"/>
    <x v="2"/>
    <n v="0.35000000000000003"/>
    <n v="8000"/>
    <x v="219"/>
    <n v="700.00000000000011"/>
    <n v="0.25"/>
  </r>
  <r>
    <x v="0"/>
    <x v="0"/>
    <x v="79"/>
    <x v="4"/>
    <s v="Florida"/>
    <s v="Miami"/>
    <x v="3"/>
    <n v="0.39999999999999997"/>
    <n v="6750"/>
    <x v="52"/>
    <n v="810"/>
    <n v="0.3"/>
  </r>
  <r>
    <x v="0"/>
    <x v="0"/>
    <x v="79"/>
    <x v="4"/>
    <s v="Florida"/>
    <s v="Miami"/>
    <x v="4"/>
    <n v="0.55000000000000004"/>
    <n v="7500"/>
    <x v="71"/>
    <n v="1443.75"/>
    <n v="0.35"/>
  </r>
  <r>
    <x v="0"/>
    <x v="0"/>
    <x v="79"/>
    <x v="4"/>
    <s v="Florida"/>
    <s v="Miami"/>
    <x v="5"/>
    <n v="0.45"/>
    <n v="8500"/>
    <x v="3"/>
    <n v="1912.5"/>
    <n v="0.5"/>
  </r>
  <r>
    <x v="0"/>
    <x v="0"/>
    <x v="80"/>
    <x v="4"/>
    <s v="Florida"/>
    <s v="Miami"/>
    <x v="0"/>
    <n v="0.45"/>
    <n v="10700"/>
    <x v="288"/>
    <n v="2166.75"/>
    <n v="0.45"/>
  </r>
  <r>
    <x v="0"/>
    <x v="0"/>
    <x v="80"/>
    <x v="4"/>
    <s v="Florida"/>
    <s v="Miami"/>
    <x v="1"/>
    <n v="0.45"/>
    <n v="7500"/>
    <x v="73"/>
    <n v="1181.25"/>
    <n v="0.35"/>
  </r>
  <r>
    <x v="0"/>
    <x v="0"/>
    <x v="80"/>
    <x v="4"/>
    <s v="Florida"/>
    <s v="Miami"/>
    <x v="2"/>
    <n v="0.35000000000000003"/>
    <n v="7750"/>
    <x v="289"/>
    <n v="678.12500000000011"/>
    <n v="0.25"/>
  </r>
  <r>
    <x v="0"/>
    <x v="0"/>
    <x v="80"/>
    <x v="4"/>
    <s v="Florida"/>
    <s v="Miami"/>
    <x v="3"/>
    <n v="0.39999999999999997"/>
    <n v="6250"/>
    <x v="54"/>
    <n v="750"/>
    <n v="0.3"/>
  </r>
  <r>
    <x v="0"/>
    <x v="0"/>
    <x v="80"/>
    <x v="4"/>
    <s v="Florida"/>
    <s v="Miami"/>
    <x v="4"/>
    <n v="0.55000000000000004"/>
    <n v="6750"/>
    <x v="105"/>
    <n v="1299.375"/>
    <n v="0.35"/>
  </r>
  <r>
    <x v="0"/>
    <x v="0"/>
    <x v="80"/>
    <x v="4"/>
    <s v="Florida"/>
    <s v="Miami"/>
    <x v="5"/>
    <n v="0.45"/>
    <n v="7750"/>
    <x v="290"/>
    <n v="1743.75"/>
    <n v="0.5"/>
  </r>
  <r>
    <x v="0"/>
    <x v="0"/>
    <x v="81"/>
    <x v="4"/>
    <s v="Florida"/>
    <s v="Miami"/>
    <x v="0"/>
    <n v="0.45"/>
    <n v="10250"/>
    <x v="291"/>
    <n v="2075.625"/>
    <n v="0.45"/>
  </r>
  <r>
    <x v="0"/>
    <x v="0"/>
    <x v="81"/>
    <x v="4"/>
    <s v="Florida"/>
    <s v="Miami"/>
    <x v="1"/>
    <n v="0.45"/>
    <n v="7250"/>
    <x v="292"/>
    <n v="1141.875"/>
    <n v="0.35"/>
  </r>
  <r>
    <x v="0"/>
    <x v="0"/>
    <x v="81"/>
    <x v="4"/>
    <s v="Florida"/>
    <s v="Miami"/>
    <x v="2"/>
    <n v="0.35000000000000003"/>
    <n v="7250"/>
    <x v="293"/>
    <n v="634.37500000000011"/>
    <n v="0.25"/>
  </r>
  <r>
    <x v="0"/>
    <x v="0"/>
    <x v="81"/>
    <x v="4"/>
    <s v="Florida"/>
    <s v="Miami"/>
    <x v="3"/>
    <n v="0.39999999999999997"/>
    <n v="6500"/>
    <x v="51"/>
    <n v="780"/>
    <n v="0.3"/>
  </r>
  <r>
    <x v="0"/>
    <x v="0"/>
    <x v="81"/>
    <x v="4"/>
    <s v="Florida"/>
    <s v="Miami"/>
    <x v="4"/>
    <n v="0.55000000000000004"/>
    <n v="6750"/>
    <x v="105"/>
    <n v="1299.375"/>
    <n v="0.35"/>
  </r>
  <r>
    <x v="0"/>
    <x v="0"/>
    <x v="81"/>
    <x v="4"/>
    <s v="Florida"/>
    <s v="Miami"/>
    <x v="5"/>
    <n v="0.45"/>
    <n v="8000"/>
    <x v="11"/>
    <n v="1800"/>
    <n v="0.5"/>
  </r>
  <r>
    <x v="0"/>
    <x v="0"/>
    <x v="82"/>
    <x v="4"/>
    <s v="Florida"/>
    <s v="Miami"/>
    <x v="0"/>
    <n v="0.55000000000000004"/>
    <n v="10700"/>
    <x v="294"/>
    <n v="2648.2500000000005"/>
    <n v="0.45"/>
  </r>
  <r>
    <x v="0"/>
    <x v="0"/>
    <x v="82"/>
    <x v="4"/>
    <s v="Florida"/>
    <s v="Miami"/>
    <x v="1"/>
    <n v="0.55000000000000004"/>
    <n v="7750"/>
    <x v="100"/>
    <n v="1491.875"/>
    <n v="0.35"/>
  </r>
  <r>
    <x v="0"/>
    <x v="0"/>
    <x v="82"/>
    <x v="4"/>
    <s v="Florida"/>
    <s v="Miami"/>
    <x v="2"/>
    <n v="0.5"/>
    <n v="7500"/>
    <x v="69"/>
    <n v="937.5"/>
    <n v="0.25"/>
  </r>
  <r>
    <x v="0"/>
    <x v="0"/>
    <x v="82"/>
    <x v="4"/>
    <s v="Florida"/>
    <s v="Miami"/>
    <x v="3"/>
    <n v="0.5"/>
    <n v="7000"/>
    <x v="49"/>
    <n v="1050"/>
    <n v="0.3"/>
  </r>
  <r>
    <x v="0"/>
    <x v="0"/>
    <x v="82"/>
    <x v="4"/>
    <s v="Florida"/>
    <s v="Miami"/>
    <x v="4"/>
    <n v="0.6"/>
    <n v="7250"/>
    <x v="92"/>
    <n v="1522.5"/>
    <n v="0.35"/>
  </r>
  <r>
    <x v="0"/>
    <x v="0"/>
    <x v="82"/>
    <x v="4"/>
    <s v="Florida"/>
    <s v="Miami"/>
    <x v="5"/>
    <n v="0.65"/>
    <n v="8250"/>
    <x v="34"/>
    <n v="2681.25"/>
    <n v="0.5"/>
  </r>
  <r>
    <x v="0"/>
    <x v="0"/>
    <x v="83"/>
    <x v="4"/>
    <s v="Florida"/>
    <s v="Miami"/>
    <x v="0"/>
    <n v="0.6"/>
    <n v="10750"/>
    <x v="295"/>
    <n v="2902.5"/>
    <n v="0.45"/>
  </r>
  <r>
    <x v="0"/>
    <x v="0"/>
    <x v="83"/>
    <x v="4"/>
    <s v="Florida"/>
    <s v="Miami"/>
    <x v="1"/>
    <n v="0.55000000000000004"/>
    <n v="8250"/>
    <x v="114"/>
    <n v="1588.125"/>
    <n v="0.35"/>
  </r>
  <r>
    <x v="0"/>
    <x v="0"/>
    <x v="83"/>
    <x v="4"/>
    <s v="Florida"/>
    <s v="Miami"/>
    <x v="2"/>
    <n v="0.5"/>
    <n v="8000"/>
    <x v="2"/>
    <n v="1000"/>
    <n v="0.25"/>
  </r>
  <r>
    <x v="0"/>
    <x v="0"/>
    <x v="83"/>
    <x v="4"/>
    <s v="Florida"/>
    <s v="Miami"/>
    <x v="3"/>
    <n v="0.5"/>
    <n v="7750"/>
    <x v="75"/>
    <n v="1162.5"/>
    <n v="0.3"/>
  </r>
  <r>
    <x v="0"/>
    <x v="0"/>
    <x v="83"/>
    <x v="4"/>
    <s v="Florida"/>
    <s v="Miami"/>
    <x v="4"/>
    <n v="0.65"/>
    <n v="7750"/>
    <x v="93"/>
    <n v="1763.125"/>
    <n v="0.35"/>
  </r>
  <r>
    <x v="0"/>
    <x v="0"/>
    <x v="83"/>
    <x v="4"/>
    <s v="Florida"/>
    <s v="Miami"/>
    <x v="5"/>
    <n v="0.70000000000000007"/>
    <n v="9250"/>
    <x v="96"/>
    <n v="3237.5000000000005"/>
    <n v="0.5"/>
  </r>
  <r>
    <x v="0"/>
    <x v="0"/>
    <x v="84"/>
    <x v="4"/>
    <s v="Florida"/>
    <s v="Miami"/>
    <x v="0"/>
    <n v="0.65"/>
    <n v="11500"/>
    <x v="33"/>
    <n v="3363.75"/>
    <n v="0.45"/>
  </r>
  <r>
    <x v="0"/>
    <x v="0"/>
    <x v="84"/>
    <x v="4"/>
    <s v="Florida"/>
    <s v="Miami"/>
    <x v="1"/>
    <n v="0.60000000000000009"/>
    <n v="9000"/>
    <x v="296"/>
    <n v="1890.0000000000002"/>
    <n v="0.35"/>
  </r>
  <r>
    <x v="0"/>
    <x v="0"/>
    <x v="84"/>
    <x v="4"/>
    <s v="Florida"/>
    <s v="Miami"/>
    <x v="2"/>
    <n v="0.55000000000000004"/>
    <n v="8250"/>
    <x v="114"/>
    <n v="1134.375"/>
    <n v="0.25"/>
  </r>
  <r>
    <x v="0"/>
    <x v="0"/>
    <x v="84"/>
    <x v="4"/>
    <s v="Florida"/>
    <s v="Miami"/>
    <x v="3"/>
    <n v="0.55000000000000004"/>
    <n v="7750"/>
    <x v="100"/>
    <n v="1278.75"/>
    <n v="0.3"/>
  </r>
  <r>
    <x v="0"/>
    <x v="0"/>
    <x v="84"/>
    <x v="4"/>
    <s v="Florida"/>
    <s v="Miami"/>
    <x v="4"/>
    <n v="0.65"/>
    <n v="8000"/>
    <x v="97"/>
    <n v="1819.9999999999998"/>
    <n v="0.35"/>
  </r>
  <r>
    <x v="0"/>
    <x v="0"/>
    <x v="84"/>
    <x v="4"/>
    <s v="Florida"/>
    <s v="Miami"/>
    <x v="5"/>
    <n v="0.70000000000000007"/>
    <n v="9750"/>
    <x v="297"/>
    <n v="3412.5000000000005"/>
    <n v="0.5"/>
  </r>
  <r>
    <x v="0"/>
    <x v="0"/>
    <x v="85"/>
    <x v="4"/>
    <s v="Florida"/>
    <s v="Miami"/>
    <x v="0"/>
    <n v="0.65"/>
    <n v="11250"/>
    <x v="298"/>
    <n v="3290.625"/>
    <n v="0.45"/>
  </r>
  <r>
    <x v="0"/>
    <x v="0"/>
    <x v="85"/>
    <x v="4"/>
    <s v="Florida"/>
    <s v="Miami"/>
    <x v="1"/>
    <n v="0.60000000000000009"/>
    <n v="9000"/>
    <x v="296"/>
    <n v="1890.0000000000002"/>
    <n v="0.35"/>
  </r>
  <r>
    <x v="0"/>
    <x v="0"/>
    <x v="85"/>
    <x v="4"/>
    <s v="Florida"/>
    <s v="Miami"/>
    <x v="2"/>
    <n v="0.55000000000000004"/>
    <n v="8250"/>
    <x v="114"/>
    <n v="1134.375"/>
    <n v="0.25"/>
  </r>
  <r>
    <x v="0"/>
    <x v="0"/>
    <x v="85"/>
    <x v="4"/>
    <s v="Florida"/>
    <s v="Miami"/>
    <x v="3"/>
    <n v="0.45"/>
    <n v="7750"/>
    <x v="290"/>
    <n v="1046.25"/>
    <n v="0.3"/>
  </r>
  <r>
    <x v="0"/>
    <x v="0"/>
    <x v="85"/>
    <x v="4"/>
    <s v="Florida"/>
    <s v="Miami"/>
    <x v="4"/>
    <n v="0.55000000000000004"/>
    <n v="7500"/>
    <x v="71"/>
    <n v="1443.75"/>
    <n v="0.35"/>
  </r>
  <r>
    <x v="0"/>
    <x v="0"/>
    <x v="85"/>
    <x v="4"/>
    <s v="Florida"/>
    <s v="Miami"/>
    <x v="5"/>
    <n v="0.60000000000000009"/>
    <n v="9250"/>
    <x v="99"/>
    <n v="2775.0000000000005"/>
    <n v="0.5"/>
  </r>
  <r>
    <x v="0"/>
    <x v="0"/>
    <x v="86"/>
    <x v="4"/>
    <s v="Florida"/>
    <s v="Miami"/>
    <x v="0"/>
    <n v="0.55000000000000004"/>
    <n v="10500"/>
    <x v="299"/>
    <n v="2598.7500000000005"/>
    <n v="0.45"/>
  </r>
  <r>
    <x v="0"/>
    <x v="0"/>
    <x v="86"/>
    <x v="4"/>
    <s v="Florida"/>
    <s v="Miami"/>
    <x v="1"/>
    <n v="0.50000000000000011"/>
    <n v="8500"/>
    <x v="300"/>
    <n v="1487.5000000000002"/>
    <n v="0.35"/>
  </r>
  <r>
    <x v="0"/>
    <x v="0"/>
    <x v="86"/>
    <x v="4"/>
    <s v="Florida"/>
    <s v="Miami"/>
    <x v="2"/>
    <n v="0.45"/>
    <n v="7500"/>
    <x v="73"/>
    <n v="843.75"/>
    <n v="0.25"/>
  </r>
  <r>
    <x v="0"/>
    <x v="0"/>
    <x v="86"/>
    <x v="4"/>
    <s v="Florida"/>
    <s v="Miami"/>
    <x v="3"/>
    <n v="0.45"/>
    <n v="7250"/>
    <x v="292"/>
    <n v="978.75"/>
    <n v="0.3"/>
  </r>
  <r>
    <x v="0"/>
    <x v="0"/>
    <x v="86"/>
    <x v="4"/>
    <s v="Florida"/>
    <s v="Miami"/>
    <x v="4"/>
    <n v="0.55000000000000004"/>
    <n v="7250"/>
    <x v="101"/>
    <n v="1395.625"/>
    <n v="0.35"/>
  </r>
  <r>
    <x v="0"/>
    <x v="0"/>
    <x v="86"/>
    <x v="4"/>
    <s v="Florida"/>
    <s v="Miami"/>
    <x v="5"/>
    <n v="0.60000000000000009"/>
    <n v="8250"/>
    <x v="301"/>
    <n v="2475.0000000000005"/>
    <n v="0.5"/>
  </r>
  <r>
    <x v="0"/>
    <x v="0"/>
    <x v="87"/>
    <x v="4"/>
    <s v="Florida"/>
    <s v="Miami"/>
    <x v="0"/>
    <n v="0.60000000000000009"/>
    <n v="10000"/>
    <x v="272"/>
    <n v="2700.0000000000005"/>
    <n v="0.45"/>
  </r>
  <r>
    <x v="0"/>
    <x v="0"/>
    <x v="87"/>
    <x v="4"/>
    <s v="Florida"/>
    <s v="Miami"/>
    <x v="1"/>
    <n v="0.50000000000000011"/>
    <n v="8250"/>
    <x v="302"/>
    <n v="1443.7500000000002"/>
    <n v="0.35"/>
  </r>
  <r>
    <x v="0"/>
    <x v="0"/>
    <x v="87"/>
    <x v="4"/>
    <s v="Florida"/>
    <s v="Miami"/>
    <x v="2"/>
    <n v="0.50000000000000011"/>
    <n v="7250"/>
    <x v="303"/>
    <n v="906.25000000000023"/>
    <n v="0.25"/>
  </r>
  <r>
    <x v="0"/>
    <x v="0"/>
    <x v="87"/>
    <x v="4"/>
    <s v="Florida"/>
    <s v="Miami"/>
    <x v="3"/>
    <n v="0.50000000000000011"/>
    <n v="7000"/>
    <x v="304"/>
    <n v="1050.0000000000002"/>
    <n v="0.3"/>
  </r>
  <r>
    <x v="0"/>
    <x v="0"/>
    <x v="87"/>
    <x v="4"/>
    <s v="Florida"/>
    <s v="Miami"/>
    <x v="4"/>
    <n v="0.60000000000000009"/>
    <n v="7000"/>
    <x v="249"/>
    <n v="1470.0000000000002"/>
    <n v="0.35"/>
  </r>
  <r>
    <x v="0"/>
    <x v="0"/>
    <x v="87"/>
    <x v="4"/>
    <s v="Florida"/>
    <s v="Miami"/>
    <x v="5"/>
    <n v="0.65"/>
    <n v="8250"/>
    <x v="34"/>
    <n v="2681.25"/>
    <n v="0.5"/>
  </r>
  <r>
    <x v="0"/>
    <x v="0"/>
    <x v="88"/>
    <x v="4"/>
    <s v="Florida"/>
    <s v="Miami"/>
    <x v="0"/>
    <n v="0.60000000000000009"/>
    <n v="9750"/>
    <x v="108"/>
    <n v="2632.5000000000005"/>
    <n v="0.45"/>
  </r>
  <r>
    <x v="0"/>
    <x v="0"/>
    <x v="88"/>
    <x v="4"/>
    <s v="Florida"/>
    <s v="Miami"/>
    <x v="1"/>
    <n v="0.50000000000000011"/>
    <n v="8000"/>
    <x v="257"/>
    <n v="1400.0000000000002"/>
    <n v="0.35"/>
  </r>
  <r>
    <x v="0"/>
    <x v="0"/>
    <x v="88"/>
    <x v="4"/>
    <s v="Florida"/>
    <s v="Miami"/>
    <x v="2"/>
    <n v="0.50000000000000011"/>
    <n v="7450"/>
    <x v="305"/>
    <n v="931.25000000000023"/>
    <n v="0.25"/>
  </r>
  <r>
    <x v="0"/>
    <x v="0"/>
    <x v="88"/>
    <x v="4"/>
    <s v="Florida"/>
    <s v="Miami"/>
    <x v="3"/>
    <n v="0.50000000000000011"/>
    <n v="7750"/>
    <x v="306"/>
    <n v="1162.5000000000002"/>
    <n v="0.3"/>
  </r>
  <r>
    <x v="0"/>
    <x v="0"/>
    <x v="88"/>
    <x v="4"/>
    <s v="Florida"/>
    <s v="Miami"/>
    <x v="4"/>
    <n v="0.65"/>
    <n v="7500"/>
    <x v="64"/>
    <n v="1706.25"/>
    <n v="0.35"/>
  </r>
  <r>
    <x v="0"/>
    <x v="0"/>
    <x v="88"/>
    <x v="4"/>
    <s v="Florida"/>
    <s v="Miami"/>
    <x v="5"/>
    <n v="0.7"/>
    <n v="8500"/>
    <x v="307"/>
    <n v="2975"/>
    <n v="0.5"/>
  </r>
  <r>
    <x v="0"/>
    <x v="0"/>
    <x v="89"/>
    <x v="4"/>
    <s v="Florida"/>
    <s v="Miami"/>
    <x v="0"/>
    <n v="0.65"/>
    <n v="10750"/>
    <x v="27"/>
    <n v="3144.375"/>
    <n v="0.45"/>
  </r>
  <r>
    <x v="0"/>
    <x v="0"/>
    <x v="89"/>
    <x v="4"/>
    <s v="Florida"/>
    <s v="Miami"/>
    <x v="1"/>
    <n v="0.55000000000000004"/>
    <n v="8750"/>
    <x v="30"/>
    <n v="1684.375"/>
    <n v="0.35"/>
  </r>
  <r>
    <x v="0"/>
    <x v="0"/>
    <x v="89"/>
    <x v="4"/>
    <s v="Florida"/>
    <s v="Miami"/>
    <x v="2"/>
    <n v="0.55000000000000004"/>
    <n v="8250"/>
    <x v="114"/>
    <n v="1134.375"/>
    <n v="0.25"/>
  </r>
  <r>
    <x v="0"/>
    <x v="0"/>
    <x v="89"/>
    <x v="4"/>
    <s v="Florida"/>
    <s v="Miami"/>
    <x v="3"/>
    <n v="0.55000000000000004"/>
    <n v="7750"/>
    <x v="100"/>
    <n v="1278.75"/>
    <n v="0.3"/>
  </r>
  <r>
    <x v="0"/>
    <x v="0"/>
    <x v="89"/>
    <x v="4"/>
    <s v="Florida"/>
    <s v="Miami"/>
    <x v="4"/>
    <n v="0.65"/>
    <n v="7750"/>
    <x v="93"/>
    <n v="1763.125"/>
    <n v="0.35"/>
  </r>
  <r>
    <x v="0"/>
    <x v="0"/>
    <x v="89"/>
    <x v="4"/>
    <s v="Florida"/>
    <s v="Miami"/>
    <x v="5"/>
    <n v="0.7"/>
    <n v="8750"/>
    <x v="308"/>
    <n v="3062.5"/>
    <n v="0.5"/>
  </r>
  <r>
    <x v="0"/>
    <x v="0"/>
    <x v="90"/>
    <x v="3"/>
    <s v="Minnesota"/>
    <s v="Minneapolis"/>
    <x v="0"/>
    <n v="0.35"/>
    <n v="4500"/>
    <x v="151"/>
    <n v="551.25"/>
    <n v="0.35000000000000003"/>
  </r>
  <r>
    <x v="0"/>
    <x v="0"/>
    <x v="90"/>
    <x v="3"/>
    <s v="Minnesota"/>
    <s v="Minneapolis"/>
    <x v="1"/>
    <n v="0.35"/>
    <n v="2500"/>
    <x v="131"/>
    <n v="262.5"/>
    <n v="0.3"/>
  </r>
  <r>
    <x v="0"/>
    <x v="0"/>
    <x v="90"/>
    <x v="3"/>
    <s v="Minnesota"/>
    <s v="Minneapolis"/>
    <x v="2"/>
    <n v="0.25"/>
    <n v="2500"/>
    <x v="143"/>
    <n v="187.5"/>
    <n v="0.3"/>
  </r>
  <r>
    <x v="0"/>
    <x v="0"/>
    <x v="90"/>
    <x v="3"/>
    <s v="Minnesota"/>
    <s v="Minneapolis"/>
    <x v="3"/>
    <n v="0.30000000000000004"/>
    <n v="1000"/>
    <x v="309"/>
    <n v="105.00000000000003"/>
    <n v="0.35000000000000003"/>
  </r>
  <r>
    <x v="0"/>
    <x v="0"/>
    <x v="90"/>
    <x v="3"/>
    <s v="Minnesota"/>
    <s v="Minneapolis"/>
    <x v="4"/>
    <n v="0.44999999999999996"/>
    <n v="1500"/>
    <x v="310"/>
    <n v="202.49999999999997"/>
    <n v="0.3"/>
  </r>
  <r>
    <x v="0"/>
    <x v="0"/>
    <x v="90"/>
    <x v="3"/>
    <s v="Minnesota"/>
    <s v="Minneapolis"/>
    <x v="5"/>
    <n v="0.35"/>
    <n v="2500"/>
    <x v="131"/>
    <n v="393.75"/>
    <n v="0.45"/>
  </r>
  <r>
    <x v="0"/>
    <x v="0"/>
    <x v="91"/>
    <x v="3"/>
    <s v="Minnesota"/>
    <s v="Minneapolis"/>
    <x v="0"/>
    <n v="0.35"/>
    <n v="5000"/>
    <x v="157"/>
    <n v="612.50000000000011"/>
    <n v="0.35000000000000003"/>
  </r>
  <r>
    <x v="0"/>
    <x v="0"/>
    <x v="91"/>
    <x v="3"/>
    <s v="Minnesota"/>
    <s v="Minneapolis"/>
    <x v="1"/>
    <n v="0.35"/>
    <n v="1500"/>
    <x v="311"/>
    <n v="157.5"/>
    <n v="0.3"/>
  </r>
  <r>
    <x v="0"/>
    <x v="0"/>
    <x v="91"/>
    <x v="3"/>
    <s v="Minnesota"/>
    <s v="Minneapolis"/>
    <x v="2"/>
    <n v="0.25"/>
    <n v="2000"/>
    <x v="118"/>
    <n v="150"/>
    <n v="0.3"/>
  </r>
  <r>
    <x v="0"/>
    <x v="0"/>
    <x v="91"/>
    <x v="3"/>
    <s v="Minnesota"/>
    <s v="Minneapolis"/>
    <x v="3"/>
    <n v="0.30000000000000004"/>
    <n v="750"/>
    <x v="312"/>
    <n v="78.750000000000014"/>
    <n v="0.35000000000000003"/>
  </r>
  <r>
    <x v="0"/>
    <x v="0"/>
    <x v="91"/>
    <x v="3"/>
    <s v="Minnesota"/>
    <s v="Minneapolis"/>
    <x v="4"/>
    <n v="0.44999999999999996"/>
    <n v="1500"/>
    <x v="310"/>
    <n v="202.49999999999997"/>
    <n v="0.3"/>
  </r>
  <r>
    <x v="0"/>
    <x v="0"/>
    <x v="91"/>
    <x v="3"/>
    <s v="Minnesota"/>
    <s v="Minneapolis"/>
    <x v="5"/>
    <n v="0.35"/>
    <n v="2250"/>
    <x v="120"/>
    <n v="354.375"/>
    <n v="0.45"/>
  </r>
  <r>
    <x v="0"/>
    <x v="0"/>
    <x v="92"/>
    <x v="3"/>
    <s v="Minnesota"/>
    <s v="Minneapolis"/>
    <x v="0"/>
    <n v="0.4"/>
    <n v="4450"/>
    <x v="313"/>
    <n v="623.00000000000011"/>
    <n v="0.35000000000000003"/>
  </r>
  <r>
    <x v="0"/>
    <x v="0"/>
    <x v="92"/>
    <x v="3"/>
    <s v="Minnesota"/>
    <s v="Minneapolis"/>
    <x v="1"/>
    <n v="0.4"/>
    <n v="1250"/>
    <x v="118"/>
    <n v="150"/>
    <n v="0.3"/>
  </r>
  <r>
    <x v="0"/>
    <x v="0"/>
    <x v="92"/>
    <x v="3"/>
    <s v="Minnesota"/>
    <s v="Minneapolis"/>
    <x v="2"/>
    <n v="0.30000000000000004"/>
    <n v="1750"/>
    <x v="314"/>
    <n v="157.50000000000003"/>
    <n v="0.3"/>
  </r>
  <r>
    <x v="0"/>
    <x v="0"/>
    <x v="92"/>
    <x v="3"/>
    <s v="Minnesota"/>
    <s v="Minneapolis"/>
    <x v="3"/>
    <n v="0.35"/>
    <n v="250"/>
    <x v="315"/>
    <n v="30.625000000000004"/>
    <n v="0.35000000000000003"/>
  </r>
  <r>
    <x v="0"/>
    <x v="0"/>
    <x v="92"/>
    <x v="3"/>
    <s v="Minnesota"/>
    <s v="Minneapolis"/>
    <x v="4"/>
    <n v="0.5"/>
    <n v="750"/>
    <x v="316"/>
    <n v="112.5"/>
    <n v="0.3"/>
  </r>
  <r>
    <x v="0"/>
    <x v="0"/>
    <x v="92"/>
    <x v="3"/>
    <s v="Minnesota"/>
    <s v="Minneapolis"/>
    <x v="5"/>
    <n v="0.4"/>
    <n v="1750"/>
    <x v="135"/>
    <n v="315"/>
    <n v="0.45"/>
  </r>
  <r>
    <x v="0"/>
    <x v="0"/>
    <x v="93"/>
    <x v="3"/>
    <s v="Minnesota"/>
    <s v="Minneapolis"/>
    <x v="0"/>
    <n v="0.4"/>
    <n v="4000"/>
    <x v="173"/>
    <n v="560"/>
    <n v="0.35000000000000003"/>
  </r>
  <r>
    <x v="0"/>
    <x v="0"/>
    <x v="93"/>
    <x v="3"/>
    <s v="Minnesota"/>
    <s v="Minneapolis"/>
    <x v="1"/>
    <n v="0.4"/>
    <n v="1000"/>
    <x v="122"/>
    <n v="120"/>
    <n v="0.3"/>
  </r>
  <r>
    <x v="0"/>
    <x v="0"/>
    <x v="93"/>
    <x v="3"/>
    <s v="Minnesota"/>
    <s v="Minneapolis"/>
    <x v="2"/>
    <n v="0.30000000000000004"/>
    <n v="1000"/>
    <x v="309"/>
    <n v="90.000000000000014"/>
    <n v="0.3"/>
  </r>
  <r>
    <x v="0"/>
    <x v="0"/>
    <x v="93"/>
    <x v="3"/>
    <s v="Minnesota"/>
    <s v="Minneapolis"/>
    <x v="3"/>
    <n v="0.35"/>
    <n v="250"/>
    <x v="315"/>
    <n v="30.625000000000004"/>
    <n v="0.35000000000000003"/>
  </r>
  <r>
    <x v="0"/>
    <x v="0"/>
    <x v="93"/>
    <x v="3"/>
    <s v="Minnesota"/>
    <s v="Minneapolis"/>
    <x v="4"/>
    <n v="0.5"/>
    <n v="500"/>
    <x v="317"/>
    <n v="75"/>
    <n v="0.3"/>
  </r>
  <r>
    <x v="0"/>
    <x v="0"/>
    <x v="93"/>
    <x v="3"/>
    <s v="Minnesota"/>
    <s v="Minneapolis"/>
    <x v="5"/>
    <n v="0.4"/>
    <n v="1750"/>
    <x v="135"/>
    <n v="315"/>
    <n v="0.45"/>
  </r>
  <r>
    <x v="0"/>
    <x v="0"/>
    <x v="94"/>
    <x v="3"/>
    <s v="Minnesota"/>
    <s v="Minneapolis"/>
    <x v="0"/>
    <n v="0.5"/>
    <n v="4450"/>
    <x v="183"/>
    <n v="778.75000000000011"/>
    <n v="0.35000000000000003"/>
  </r>
  <r>
    <x v="0"/>
    <x v="0"/>
    <x v="94"/>
    <x v="3"/>
    <s v="Minnesota"/>
    <s v="Minneapolis"/>
    <x v="1"/>
    <n v="0.45000000000000007"/>
    <n v="1500"/>
    <x v="318"/>
    <n v="202.50000000000003"/>
    <n v="0.3"/>
  </r>
  <r>
    <x v="0"/>
    <x v="0"/>
    <x v="94"/>
    <x v="3"/>
    <s v="Minnesota"/>
    <s v="Minneapolis"/>
    <x v="2"/>
    <n v="0.4"/>
    <n v="1250"/>
    <x v="118"/>
    <n v="150"/>
    <n v="0.3"/>
  </r>
  <r>
    <x v="0"/>
    <x v="0"/>
    <x v="94"/>
    <x v="3"/>
    <s v="Minnesota"/>
    <s v="Minneapolis"/>
    <x v="3"/>
    <n v="0.4"/>
    <n v="500"/>
    <x v="182"/>
    <n v="70"/>
    <n v="0.35000000000000003"/>
  </r>
  <r>
    <x v="0"/>
    <x v="0"/>
    <x v="94"/>
    <x v="3"/>
    <s v="Minnesota"/>
    <s v="Minneapolis"/>
    <x v="4"/>
    <n v="0.54999999999999993"/>
    <n v="750"/>
    <x v="319"/>
    <n v="123.74999999999997"/>
    <n v="0.3"/>
  </r>
  <r>
    <x v="0"/>
    <x v="0"/>
    <x v="94"/>
    <x v="3"/>
    <s v="Minnesota"/>
    <s v="Minneapolis"/>
    <x v="5"/>
    <n v="0.6"/>
    <n v="1750"/>
    <x v="202"/>
    <n v="472.5"/>
    <n v="0.45"/>
  </r>
  <r>
    <x v="0"/>
    <x v="0"/>
    <x v="95"/>
    <x v="3"/>
    <s v="Minnesota"/>
    <s v="Minneapolis"/>
    <x v="0"/>
    <n v="0.45"/>
    <n v="4250"/>
    <x v="172"/>
    <n v="669.37500000000011"/>
    <n v="0.35000000000000003"/>
  </r>
  <r>
    <x v="0"/>
    <x v="0"/>
    <x v="95"/>
    <x v="3"/>
    <s v="Minnesota"/>
    <s v="Minneapolis"/>
    <x v="1"/>
    <n v="0.40000000000000008"/>
    <n v="1750"/>
    <x v="320"/>
    <n v="210.00000000000003"/>
    <n v="0.3"/>
  </r>
  <r>
    <x v="0"/>
    <x v="0"/>
    <x v="95"/>
    <x v="3"/>
    <s v="Minnesota"/>
    <s v="Minneapolis"/>
    <x v="2"/>
    <n v="0.35000000000000003"/>
    <n v="1750"/>
    <x v="181"/>
    <n v="183.75000000000003"/>
    <n v="0.3"/>
  </r>
  <r>
    <x v="0"/>
    <x v="0"/>
    <x v="95"/>
    <x v="3"/>
    <s v="Minnesota"/>
    <s v="Minneapolis"/>
    <x v="3"/>
    <n v="0.35000000000000003"/>
    <n v="1500"/>
    <x v="311"/>
    <n v="183.75000000000003"/>
    <n v="0.35000000000000003"/>
  </r>
  <r>
    <x v="0"/>
    <x v="0"/>
    <x v="95"/>
    <x v="3"/>
    <s v="Minnesota"/>
    <s v="Minneapolis"/>
    <x v="4"/>
    <n v="0.5"/>
    <n v="1500"/>
    <x v="126"/>
    <n v="225"/>
    <n v="0.3"/>
  </r>
  <r>
    <x v="0"/>
    <x v="0"/>
    <x v="95"/>
    <x v="3"/>
    <s v="Minnesota"/>
    <s v="Minneapolis"/>
    <x v="5"/>
    <n v="0.55000000000000004"/>
    <n v="3250"/>
    <x v="255"/>
    <n v="804.37500000000011"/>
    <n v="0.45"/>
  </r>
  <r>
    <x v="0"/>
    <x v="0"/>
    <x v="96"/>
    <x v="3"/>
    <s v="Minnesota"/>
    <s v="Minneapolis"/>
    <x v="0"/>
    <n v="0.5"/>
    <n v="5500"/>
    <x v="80"/>
    <n v="962.50000000000011"/>
    <n v="0.35000000000000003"/>
  </r>
  <r>
    <x v="0"/>
    <x v="0"/>
    <x v="96"/>
    <x v="3"/>
    <s v="Minnesota"/>
    <s v="Minneapolis"/>
    <x v="1"/>
    <n v="0.45000000000000007"/>
    <n v="3000"/>
    <x v="139"/>
    <n v="405.00000000000006"/>
    <n v="0.3"/>
  </r>
  <r>
    <x v="0"/>
    <x v="0"/>
    <x v="96"/>
    <x v="3"/>
    <s v="Minnesota"/>
    <s v="Minneapolis"/>
    <x v="2"/>
    <n v="0.4"/>
    <n v="2250"/>
    <x v="124"/>
    <n v="270"/>
    <n v="0.3"/>
  </r>
  <r>
    <x v="0"/>
    <x v="0"/>
    <x v="96"/>
    <x v="3"/>
    <s v="Minnesota"/>
    <s v="Minneapolis"/>
    <x v="3"/>
    <n v="0.4"/>
    <n v="1750"/>
    <x v="135"/>
    <n v="245.00000000000003"/>
    <n v="0.35000000000000003"/>
  </r>
  <r>
    <x v="0"/>
    <x v="0"/>
    <x v="96"/>
    <x v="3"/>
    <s v="Minnesota"/>
    <s v="Minneapolis"/>
    <x v="4"/>
    <n v="0.5"/>
    <n v="2000"/>
    <x v="123"/>
    <n v="300"/>
    <n v="0.3"/>
  </r>
  <r>
    <x v="0"/>
    <x v="0"/>
    <x v="96"/>
    <x v="3"/>
    <s v="Minnesota"/>
    <s v="Minneapolis"/>
    <x v="5"/>
    <n v="0.55000000000000004"/>
    <n v="3750"/>
    <x v="138"/>
    <n v="928.125"/>
    <n v="0.45"/>
  </r>
  <r>
    <x v="0"/>
    <x v="0"/>
    <x v="97"/>
    <x v="3"/>
    <s v="Minnesota"/>
    <s v="Minneapolis"/>
    <x v="0"/>
    <n v="0.5"/>
    <n v="5250"/>
    <x v="48"/>
    <n v="918.75000000000011"/>
    <n v="0.35000000000000003"/>
  </r>
  <r>
    <x v="0"/>
    <x v="0"/>
    <x v="97"/>
    <x v="3"/>
    <s v="Minnesota"/>
    <s v="Minneapolis"/>
    <x v="1"/>
    <n v="0.45000000000000007"/>
    <n v="3000"/>
    <x v="139"/>
    <n v="405.00000000000006"/>
    <n v="0.3"/>
  </r>
  <r>
    <x v="0"/>
    <x v="0"/>
    <x v="97"/>
    <x v="3"/>
    <s v="Minnesota"/>
    <s v="Minneapolis"/>
    <x v="2"/>
    <n v="0.4"/>
    <n v="2250"/>
    <x v="124"/>
    <n v="270"/>
    <n v="0.3"/>
  </r>
  <r>
    <x v="0"/>
    <x v="0"/>
    <x v="97"/>
    <x v="3"/>
    <s v="Minnesota"/>
    <s v="Minneapolis"/>
    <x v="3"/>
    <n v="0.35000000000000003"/>
    <n v="1750"/>
    <x v="181"/>
    <n v="214.37500000000006"/>
    <n v="0.35000000000000003"/>
  </r>
  <r>
    <x v="0"/>
    <x v="0"/>
    <x v="97"/>
    <x v="3"/>
    <s v="Minnesota"/>
    <s v="Minneapolis"/>
    <x v="4"/>
    <n v="0.45"/>
    <n v="1500"/>
    <x v="321"/>
    <n v="202.5"/>
    <n v="0.3"/>
  </r>
  <r>
    <x v="0"/>
    <x v="0"/>
    <x v="97"/>
    <x v="3"/>
    <s v="Minnesota"/>
    <s v="Minneapolis"/>
    <x v="5"/>
    <n v="0.5"/>
    <n v="3250"/>
    <x v="132"/>
    <n v="731.25"/>
    <n v="0.45"/>
  </r>
  <r>
    <x v="0"/>
    <x v="0"/>
    <x v="98"/>
    <x v="3"/>
    <s v="Minnesota"/>
    <s v="Minneapolis"/>
    <x v="0"/>
    <n v="0.45"/>
    <n v="4500"/>
    <x v="158"/>
    <n v="708.75000000000011"/>
    <n v="0.35000000000000003"/>
  </r>
  <r>
    <x v="0"/>
    <x v="0"/>
    <x v="98"/>
    <x v="3"/>
    <s v="Minnesota"/>
    <s v="Minneapolis"/>
    <x v="1"/>
    <n v="0.40000000000000008"/>
    <n v="2500"/>
    <x v="322"/>
    <n v="300.00000000000006"/>
    <n v="0.3"/>
  </r>
  <r>
    <x v="0"/>
    <x v="0"/>
    <x v="98"/>
    <x v="3"/>
    <s v="Minnesota"/>
    <s v="Minneapolis"/>
    <x v="2"/>
    <n v="0.25"/>
    <n v="1500"/>
    <x v="316"/>
    <n v="112.5"/>
    <n v="0.3"/>
  </r>
  <r>
    <x v="0"/>
    <x v="0"/>
    <x v="98"/>
    <x v="3"/>
    <s v="Minnesota"/>
    <s v="Minneapolis"/>
    <x v="3"/>
    <n v="0.25"/>
    <n v="1250"/>
    <x v="323"/>
    <n v="109.37500000000001"/>
    <n v="0.35000000000000003"/>
  </r>
  <r>
    <x v="0"/>
    <x v="0"/>
    <x v="98"/>
    <x v="3"/>
    <s v="Minnesota"/>
    <s v="Minneapolis"/>
    <x v="4"/>
    <n v="0.35"/>
    <n v="1250"/>
    <x v="324"/>
    <n v="131.25"/>
    <n v="0.3"/>
  </r>
  <r>
    <x v="0"/>
    <x v="0"/>
    <x v="98"/>
    <x v="3"/>
    <s v="Minnesota"/>
    <s v="Minneapolis"/>
    <x v="5"/>
    <n v="0.4"/>
    <n v="2000"/>
    <x v="134"/>
    <n v="360"/>
    <n v="0.45"/>
  </r>
  <r>
    <x v="0"/>
    <x v="0"/>
    <x v="99"/>
    <x v="3"/>
    <s v="Minnesota"/>
    <s v="Minneapolis"/>
    <x v="0"/>
    <n v="0.44999999999999996"/>
    <n v="3750"/>
    <x v="325"/>
    <n v="590.625"/>
    <n v="0.35000000000000003"/>
  </r>
  <r>
    <x v="0"/>
    <x v="0"/>
    <x v="99"/>
    <x v="3"/>
    <s v="Minnesota"/>
    <s v="Minneapolis"/>
    <x v="1"/>
    <n v="0.35"/>
    <n v="2000"/>
    <x v="135"/>
    <n v="210"/>
    <n v="0.3"/>
  </r>
  <r>
    <x v="0"/>
    <x v="0"/>
    <x v="99"/>
    <x v="3"/>
    <s v="Minnesota"/>
    <s v="Minneapolis"/>
    <x v="2"/>
    <n v="0.35"/>
    <n v="1000"/>
    <x v="326"/>
    <n v="105"/>
    <n v="0.3"/>
  </r>
  <r>
    <x v="0"/>
    <x v="0"/>
    <x v="99"/>
    <x v="3"/>
    <s v="Minnesota"/>
    <s v="Minneapolis"/>
    <x v="3"/>
    <n v="0.35"/>
    <n v="750"/>
    <x v="327"/>
    <n v="91.875000000000014"/>
    <n v="0.35000000000000003"/>
  </r>
  <r>
    <x v="0"/>
    <x v="0"/>
    <x v="99"/>
    <x v="3"/>
    <s v="Minnesota"/>
    <s v="Minneapolis"/>
    <x v="4"/>
    <n v="0.44999999999999996"/>
    <n v="750"/>
    <x v="328"/>
    <n v="101.24999999999999"/>
    <n v="0.3"/>
  </r>
  <r>
    <x v="0"/>
    <x v="0"/>
    <x v="99"/>
    <x v="3"/>
    <s v="Minnesota"/>
    <s v="Minneapolis"/>
    <x v="5"/>
    <n v="0.49999999999999989"/>
    <n v="2000"/>
    <x v="329"/>
    <n v="449.99999999999989"/>
    <n v="0.45"/>
  </r>
  <r>
    <x v="0"/>
    <x v="0"/>
    <x v="100"/>
    <x v="3"/>
    <s v="Minnesota"/>
    <s v="Minneapolis"/>
    <x v="0"/>
    <n v="0.5"/>
    <n v="3500"/>
    <x v="157"/>
    <n v="612.50000000000011"/>
    <n v="0.35000000000000003"/>
  </r>
  <r>
    <x v="0"/>
    <x v="0"/>
    <x v="100"/>
    <x v="3"/>
    <s v="Minnesota"/>
    <s v="Minneapolis"/>
    <x v="1"/>
    <n v="0.4"/>
    <n v="2000"/>
    <x v="134"/>
    <n v="240"/>
    <n v="0.3"/>
  </r>
  <r>
    <x v="0"/>
    <x v="0"/>
    <x v="100"/>
    <x v="3"/>
    <s v="Minnesota"/>
    <s v="Minneapolis"/>
    <x v="2"/>
    <n v="0.4"/>
    <n v="1450"/>
    <x v="330"/>
    <n v="174"/>
    <n v="0.3"/>
  </r>
  <r>
    <x v="0"/>
    <x v="0"/>
    <x v="100"/>
    <x v="3"/>
    <s v="Minnesota"/>
    <s v="Minneapolis"/>
    <x v="3"/>
    <n v="0.4"/>
    <n v="1500"/>
    <x v="128"/>
    <n v="210.00000000000003"/>
    <n v="0.35000000000000003"/>
  </r>
  <r>
    <x v="0"/>
    <x v="0"/>
    <x v="100"/>
    <x v="3"/>
    <s v="Minnesota"/>
    <s v="Minneapolis"/>
    <x v="4"/>
    <n v="0.54999999999999993"/>
    <n v="1250"/>
    <x v="179"/>
    <n v="206.24999999999997"/>
    <n v="0.3"/>
  </r>
  <r>
    <x v="0"/>
    <x v="0"/>
    <x v="100"/>
    <x v="3"/>
    <s v="Minnesota"/>
    <s v="Minneapolis"/>
    <x v="5"/>
    <n v="0.59999999999999987"/>
    <n v="2250"/>
    <x v="331"/>
    <n v="607.49999999999989"/>
    <n v="0.45"/>
  </r>
  <r>
    <x v="0"/>
    <x v="0"/>
    <x v="101"/>
    <x v="3"/>
    <s v="Minnesota"/>
    <s v="Minneapolis"/>
    <x v="0"/>
    <n v="0.54999999999999993"/>
    <n v="4750"/>
    <x v="332"/>
    <n v="914.37499999999989"/>
    <n v="0.35000000000000003"/>
  </r>
  <r>
    <x v="0"/>
    <x v="0"/>
    <x v="101"/>
    <x v="3"/>
    <s v="Minnesota"/>
    <s v="Minneapolis"/>
    <x v="1"/>
    <n v="0.45"/>
    <n v="2750"/>
    <x v="116"/>
    <n v="371.25"/>
    <n v="0.3"/>
  </r>
  <r>
    <x v="0"/>
    <x v="0"/>
    <x v="101"/>
    <x v="3"/>
    <s v="Minnesota"/>
    <s v="Minneapolis"/>
    <x v="2"/>
    <n v="0.45"/>
    <n v="2250"/>
    <x v="177"/>
    <n v="303.75"/>
    <n v="0.3"/>
  </r>
  <r>
    <x v="0"/>
    <x v="0"/>
    <x v="101"/>
    <x v="3"/>
    <s v="Minnesota"/>
    <s v="Minneapolis"/>
    <x v="3"/>
    <n v="0.45"/>
    <n v="1750"/>
    <x v="120"/>
    <n v="275.625"/>
    <n v="0.35000000000000003"/>
  </r>
  <r>
    <x v="0"/>
    <x v="0"/>
    <x v="101"/>
    <x v="3"/>
    <s v="Minnesota"/>
    <s v="Minneapolis"/>
    <x v="4"/>
    <n v="0.54999999999999993"/>
    <n v="1750"/>
    <x v="119"/>
    <n v="288.74999999999994"/>
    <n v="0.3"/>
  </r>
  <r>
    <x v="0"/>
    <x v="0"/>
    <x v="101"/>
    <x v="3"/>
    <s v="Minnesota"/>
    <s v="Minneapolis"/>
    <x v="5"/>
    <n v="0.59999999999999987"/>
    <n v="2750"/>
    <x v="333"/>
    <n v="742.49999999999977"/>
    <n v="0.45"/>
  </r>
  <r>
    <x v="3"/>
    <x v="3"/>
    <x v="102"/>
    <x v="3"/>
    <s v="Montana"/>
    <s v="Billings"/>
    <x v="0"/>
    <n v="0.35"/>
    <n v="4750"/>
    <x v="155"/>
    <n v="748.125"/>
    <n v="0.45"/>
  </r>
  <r>
    <x v="3"/>
    <x v="3"/>
    <x v="102"/>
    <x v="3"/>
    <s v="Montana"/>
    <s v="Billings"/>
    <x v="1"/>
    <n v="0.45"/>
    <n v="4750"/>
    <x v="115"/>
    <n v="641.25"/>
    <n v="0.3"/>
  </r>
  <r>
    <x v="3"/>
    <x v="3"/>
    <x v="102"/>
    <x v="3"/>
    <s v="Montana"/>
    <s v="Billings"/>
    <x v="2"/>
    <n v="0.45"/>
    <n v="4750"/>
    <x v="115"/>
    <n v="961.875"/>
    <n v="0.45"/>
  </r>
  <r>
    <x v="3"/>
    <x v="3"/>
    <x v="102"/>
    <x v="3"/>
    <s v="Montana"/>
    <s v="Billings"/>
    <x v="3"/>
    <n v="0.45"/>
    <n v="3250"/>
    <x v="334"/>
    <n v="585"/>
    <n v="0.39999999999999997"/>
  </r>
  <r>
    <x v="3"/>
    <x v="3"/>
    <x v="102"/>
    <x v="3"/>
    <s v="Montana"/>
    <s v="Billings"/>
    <x v="4"/>
    <n v="0.5"/>
    <n v="2750"/>
    <x v="140"/>
    <n v="825.00000000000011"/>
    <n v="0.60000000000000009"/>
  </r>
  <r>
    <x v="3"/>
    <x v="3"/>
    <x v="102"/>
    <x v="3"/>
    <s v="Montana"/>
    <s v="Billings"/>
    <x v="5"/>
    <n v="0.45"/>
    <n v="4750"/>
    <x v="115"/>
    <n v="534.375"/>
    <n v="0.25"/>
  </r>
  <r>
    <x v="3"/>
    <x v="3"/>
    <x v="103"/>
    <x v="3"/>
    <s v="Montana"/>
    <s v="Billings"/>
    <x v="0"/>
    <n v="0.35"/>
    <n v="5250"/>
    <x v="152"/>
    <n v="826.87499999999989"/>
    <n v="0.45"/>
  </r>
  <r>
    <x v="3"/>
    <x v="3"/>
    <x v="103"/>
    <x v="3"/>
    <s v="Montana"/>
    <s v="Billings"/>
    <x v="1"/>
    <n v="0.45"/>
    <n v="4250"/>
    <x v="172"/>
    <n v="573.75"/>
    <n v="0.3"/>
  </r>
  <r>
    <x v="3"/>
    <x v="3"/>
    <x v="103"/>
    <x v="3"/>
    <s v="Montana"/>
    <s v="Billings"/>
    <x v="2"/>
    <n v="0.45"/>
    <n v="4500"/>
    <x v="158"/>
    <n v="911.25"/>
    <n v="0.45"/>
  </r>
  <r>
    <x v="3"/>
    <x v="3"/>
    <x v="103"/>
    <x v="3"/>
    <s v="Montana"/>
    <s v="Billings"/>
    <x v="3"/>
    <n v="0.45"/>
    <n v="3000"/>
    <x v="198"/>
    <n v="540"/>
    <n v="0.39999999999999997"/>
  </r>
  <r>
    <x v="3"/>
    <x v="3"/>
    <x v="103"/>
    <x v="3"/>
    <s v="Montana"/>
    <s v="Billings"/>
    <x v="4"/>
    <n v="0.5"/>
    <n v="2250"/>
    <x v="127"/>
    <n v="675.00000000000011"/>
    <n v="0.60000000000000009"/>
  </r>
  <r>
    <x v="3"/>
    <x v="3"/>
    <x v="103"/>
    <x v="3"/>
    <s v="Montana"/>
    <s v="Billings"/>
    <x v="5"/>
    <n v="0.45"/>
    <n v="4250"/>
    <x v="172"/>
    <n v="478.125"/>
    <n v="0.25"/>
  </r>
  <r>
    <x v="3"/>
    <x v="3"/>
    <x v="104"/>
    <x v="3"/>
    <s v="Montana"/>
    <s v="Billings"/>
    <x v="0"/>
    <n v="0.35"/>
    <n v="5750"/>
    <x v="335"/>
    <n v="905.62499999999989"/>
    <n v="0.45"/>
  </r>
  <r>
    <x v="3"/>
    <x v="3"/>
    <x v="104"/>
    <x v="3"/>
    <s v="Montana"/>
    <s v="Billings"/>
    <x v="1"/>
    <n v="0.45"/>
    <n v="4250"/>
    <x v="172"/>
    <n v="573.75"/>
    <n v="0.3"/>
  </r>
  <r>
    <x v="3"/>
    <x v="3"/>
    <x v="104"/>
    <x v="3"/>
    <s v="Montana"/>
    <s v="Billings"/>
    <x v="2"/>
    <n v="0.45"/>
    <n v="4250"/>
    <x v="172"/>
    <n v="860.625"/>
    <n v="0.45"/>
  </r>
  <r>
    <x v="3"/>
    <x v="3"/>
    <x v="104"/>
    <x v="3"/>
    <s v="Montana"/>
    <s v="Billings"/>
    <x v="3"/>
    <n v="0.45"/>
    <n v="3250"/>
    <x v="334"/>
    <n v="585"/>
    <n v="0.39999999999999997"/>
  </r>
  <r>
    <x v="3"/>
    <x v="3"/>
    <x v="104"/>
    <x v="3"/>
    <s v="Montana"/>
    <s v="Billings"/>
    <x v="4"/>
    <n v="0.5"/>
    <n v="2000"/>
    <x v="123"/>
    <n v="600.00000000000011"/>
    <n v="0.60000000000000009"/>
  </r>
  <r>
    <x v="3"/>
    <x v="3"/>
    <x v="104"/>
    <x v="3"/>
    <s v="Montana"/>
    <s v="Billings"/>
    <x v="5"/>
    <n v="0.45"/>
    <n v="4000"/>
    <x v="207"/>
    <n v="450"/>
    <n v="0.25"/>
  </r>
  <r>
    <x v="3"/>
    <x v="3"/>
    <x v="105"/>
    <x v="3"/>
    <s v="Montana"/>
    <s v="Billings"/>
    <x v="0"/>
    <n v="0.45"/>
    <n v="5750"/>
    <x v="70"/>
    <n v="1164.375"/>
    <n v="0.45"/>
  </r>
  <r>
    <x v="3"/>
    <x v="3"/>
    <x v="105"/>
    <x v="3"/>
    <s v="Montana"/>
    <s v="Billings"/>
    <x v="1"/>
    <n v="0.45"/>
    <n v="3750"/>
    <x v="153"/>
    <n v="506.25"/>
    <n v="0.3"/>
  </r>
  <r>
    <x v="3"/>
    <x v="3"/>
    <x v="105"/>
    <x v="3"/>
    <s v="Montana"/>
    <s v="Billings"/>
    <x v="2"/>
    <n v="0.45"/>
    <n v="4000"/>
    <x v="207"/>
    <n v="810"/>
    <n v="0.45"/>
  </r>
  <r>
    <x v="3"/>
    <x v="3"/>
    <x v="105"/>
    <x v="3"/>
    <s v="Montana"/>
    <s v="Billings"/>
    <x v="3"/>
    <n v="0.4"/>
    <n v="3000"/>
    <x v="147"/>
    <n v="479.99999999999994"/>
    <n v="0.39999999999999997"/>
  </r>
  <r>
    <x v="3"/>
    <x v="3"/>
    <x v="105"/>
    <x v="3"/>
    <s v="Montana"/>
    <s v="Billings"/>
    <x v="4"/>
    <n v="0.45"/>
    <n v="2000"/>
    <x v="124"/>
    <n v="540.00000000000011"/>
    <n v="0.60000000000000009"/>
  </r>
  <r>
    <x v="3"/>
    <x v="3"/>
    <x v="105"/>
    <x v="3"/>
    <s v="Montana"/>
    <s v="Billings"/>
    <x v="5"/>
    <n v="0.6"/>
    <n v="3750"/>
    <x v="39"/>
    <n v="562.5"/>
    <n v="0.25"/>
  </r>
  <r>
    <x v="3"/>
    <x v="3"/>
    <x v="106"/>
    <x v="3"/>
    <s v="Montana"/>
    <s v="Billings"/>
    <x v="0"/>
    <n v="0.4"/>
    <n v="5750"/>
    <x v="336"/>
    <n v="1035"/>
    <n v="0.45"/>
  </r>
  <r>
    <x v="3"/>
    <x v="3"/>
    <x v="106"/>
    <x v="3"/>
    <s v="Montana"/>
    <s v="Billings"/>
    <x v="1"/>
    <n v="0.45"/>
    <n v="4250"/>
    <x v="172"/>
    <n v="573.75"/>
    <n v="0.3"/>
  </r>
  <r>
    <x v="3"/>
    <x v="3"/>
    <x v="106"/>
    <x v="3"/>
    <s v="Montana"/>
    <s v="Billings"/>
    <x v="2"/>
    <n v="0.45"/>
    <n v="4250"/>
    <x v="172"/>
    <n v="860.625"/>
    <n v="0.45"/>
  </r>
  <r>
    <x v="3"/>
    <x v="3"/>
    <x v="106"/>
    <x v="3"/>
    <s v="Montana"/>
    <s v="Billings"/>
    <x v="3"/>
    <n v="0.4"/>
    <n v="3250"/>
    <x v="194"/>
    <n v="520"/>
    <n v="0.39999999999999997"/>
  </r>
  <r>
    <x v="3"/>
    <x v="3"/>
    <x v="106"/>
    <x v="3"/>
    <s v="Montana"/>
    <s v="Billings"/>
    <x v="4"/>
    <n v="0.45"/>
    <n v="2250"/>
    <x v="177"/>
    <n v="607.50000000000011"/>
    <n v="0.60000000000000009"/>
  </r>
  <r>
    <x v="3"/>
    <x v="3"/>
    <x v="106"/>
    <x v="3"/>
    <s v="Montana"/>
    <s v="Billings"/>
    <x v="5"/>
    <n v="0.6"/>
    <n v="4000"/>
    <x v="50"/>
    <n v="600"/>
    <n v="0.25"/>
  </r>
  <r>
    <x v="3"/>
    <x v="3"/>
    <x v="107"/>
    <x v="3"/>
    <s v="Montana"/>
    <s v="Billings"/>
    <x v="0"/>
    <n v="0.4"/>
    <n v="6750"/>
    <x v="52"/>
    <n v="1215"/>
    <n v="0.45"/>
  </r>
  <r>
    <x v="3"/>
    <x v="3"/>
    <x v="107"/>
    <x v="3"/>
    <s v="Montana"/>
    <s v="Billings"/>
    <x v="1"/>
    <n v="0.45"/>
    <n v="5250"/>
    <x v="45"/>
    <n v="708.75"/>
    <n v="0.3"/>
  </r>
  <r>
    <x v="3"/>
    <x v="3"/>
    <x v="107"/>
    <x v="3"/>
    <s v="Montana"/>
    <s v="Billings"/>
    <x v="2"/>
    <n v="0.45"/>
    <n v="5500"/>
    <x v="111"/>
    <n v="1113.75"/>
    <n v="0.45"/>
  </r>
  <r>
    <x v="3"/>
    <x v="3"/>
    <x v="107"/>
    <x v="3"/>
    <s v="Montana"/>
    <s v="Billings"/>
    <x v="3"/>
    <n v="0.4"/>
    <n v="4250"/>
    <x v="234"/>
    <n v="680"/>
    <n v="0.39999999999999997"/>
  </r>
  <r>
    <x v="3"/>
    <x v="3"/>
    <x v="107"/>
    <x v="3"/>
    <s v="Montana"/>
    <s v="Billings"/>
    <x v="4"/>
    <n v="0.45"/>
    <n v="3000"/>
    <x v="198"/>
    <n v="810.00000000000011"/>
    <n v="0.60000000000000009"/>
  </r>
  <r>
    <x v="3"/>
    <x v="3"/>
    <x v="107"/>
    <x v="3"/>
    <s v="Montana"/>
    <s v="Billings"/>
    <x v="5"/>
    <n v="0.6"/>
    <n v="6000"/>
    <x v="11"/>
    <n v="900"/>
    <n v="0.25"/>
  </r>
  <r>
    <x v="3"/>
    <x v="3"/>
    <x v="108"/>
    <x v="3"/>
    <s v="Montana"/>
    <s v="Billings"/>
    <x v="0"/>
    <n v="0.4"/>
    <n v="7500"/>
    <x v="61"/>
    <n v="1350"/>
    <n v="0.45"/>
  </r>
  <r>
    <x v="3"/>
    <x v="3"/>
    <x v="108"/>
    <x v="3"/>
    <s v="Montana"/>
    <s v="Billings"/>
    <x v="1"/>
    <n v="0.45"/>
    <n v="6000"/>
    <x v="52"/>
    <n v="810"/>
    <n v="0.3"/>
  </r>
  <r>
    <x v="3"/>
    <x v="3"/>
    <x v="108"/>
    <x v="3"/>
    <s v="Montana"/>
    <s v="Billings"/>
    <x v="2"/>
    <n v="0.45"/>
    <n v="5500"/>
    <x v="111"/>
    <n v="1113.75"/>
    <n v="0.45"/>
  </r>
  <r>
    <x v="3"/>
    <x v="3"/>
    <x v="108"/>
    <x v="3"/>
    <s v="Montana"/>
    <s v="Billings"/>
    <x v="3"/>
    <n v="0.4"/>
    <n v="4500"/>
    <x v="207"/>
    <n v="719.99999999999989"/>
    <n v="0.39999999999999997"/>
  </r>
  <r>
    <x v="3"/>
    <x v="3"/>
    <x v="108"/>
    <x v="3"/>
    <s v="Montana"/>
    <s v="Billings"/>
    <x v="4"/>
    <n v="0.45"/>
    <n v="4750"/>
    <x v="115"/>
    <n v="1282.5000000000002"/>
    <n v="0.60000000000000009"/>
  </r>
  <r>
    <x v="3"/>
    <x v="3"/>
    <x v="108"/>
    <x v="3"/>
    <s v="Montana"/>
    <s v="Billings"/>
    <x v="5"/>
    <n v="0.6"/>
    <n v="4750"/>
    <x v="175"/>
    <n v="712.5"/>
    <n v="0.25"/>
  </r>
  <r>
    <x v="3"/>
    <x v="3"/>
    <x v="109"/>
    <x v="3"/>
    <s v="Montana"/>
    <s v="Billings"/>
    <x v="0"/>
    <n v="0.45"/>
    <n v="6750"/>
    <x v="112"/>
    <n v="1366.875"/>
    <n v="0.45"/>
  </r>
  <r>
    <x v="3"/>
    <x v="3"/>
    <x v="109"/>
    <x v="3"/>
    <s v="Montana"/>
    <s v="Billings"/>
    <x v="1"/>
    <n v="0.55000000000000004"/>
    <n v="6250"/>
    <x v="337"/>
    <n v="1031.25"/>
    <n v="0.3"/>
  </r>
  <r>
    <x v="3"/>
    <x v="3"/>
    <x v="109"/>
    <x v="3"/>
    <s v="Montana"/>
    <s v="Billings"/>
    <x v="2"/>
    <n v="0.5"/>
    <n v="5000"/>
    <x v="54"/>
    <n v="1125"/>
    <n v="0.45"/>
  </r>
  <r>
    <x v="3"/>
    <x v="3"/>
    <x v="109"/>
    <x v="3"/>
    <s v="Montana"/>
    <s v="Billings"/>
    <x v="3"/>
    <n v="0.45"/>
    <n v="4250"/>
    <x v="172"/>
    <n v="764.99999999999989"/>
    <n v="0.39999999999999997"/>
  </r>
  <r>
    <x v="3"/>
    <x v="3"/>
    <x v="109"/>
    <x v="3"/>
    <s v="Montana"/>
    <s v="Billings"/>
    <x v="4"/>
    <n v="0.54999999999999993"/>
    <n v="4250"/>
    <x v="338"/>
    <n v="1402.5"/>
    <n v="0.60000000000000009"/>
  </r>
  <r>
    <x v="3"/>
    <x v="3"/>
    <x v="109"/>
    <x v="3"/>
    <s v="Montana"/>
    <s v="Billings"/>
    <x v="5"/>
    <n v="0.6"/>
    <n v="4000"/>
    <x v="50"/>
    <n v="600"/>
    <n v="0.25"/>
  </r>
  <r>
    <x v="3"/>
    <x v="3"/>
    <x v="110"/>
    <x v="3"/>
    <s v="Montana"/>
    <s v="Billings"/>
    <x v="0"/>
    <n v="0.45"/>
    <n v="6000"/>
    <x v="52"/>
    <n v="1215"/>
    <n v="0.45"/>
  </r>
  <r>
    <x v="3"/>
    <x v="3"/>
    <x v="110"/>
    <x v="3"/>
    <s v="Montana"/>
    <s v="Billings"/>
    <x v="1"/>
    <n v="0.5"/>
    <n v="6000"/>
    <x v="61"/>
    <n v="900"/>
    <n v="0.3"/>
  </r>
  <r>
    <x v="3"/>
    <x v="3"/>
    <x v="110"/>
    <x v="3"/>
    <s v="Montana"/>
    <s v="Billings"/>
    <x v="2"/>
    <n v="0.45"/>
    <n v="4500"/>
    <x v="158"/>
    <n v="911.25"/>
    <n v="0.45"/>
  </r>
  <r>
    <x v="3"/>
    <x v="3"/>
    <x v="110"/>
    <x v="3"/>
    <s v="Montana"/>
    <s v="Billings"/>
    <x v="3"/>
    <n v="0.45"/>
    <n v="4000"/>
    <x v="207"/>
    <n v="719.99999999999989"/>
    <n v="0.39999999999999997"/>
  </r>
  <r>
    <x v="3"/>
    <x v="3"/>
    <x v="110"/>
    <x v="3"/>
    <s v="Montana"/>
    <s v="Billings"/>
    <x v="4"/>
    <n v="0.54999999999999993"/>
    <n v="4000"/>
    <x v="208"/>
    <n v="1320"/>
    <n v="0.60000000000000009"/>
  </r>
  <r>
    <x v="3"/>
    <x v="3"/>
    <x v="110"/>
    <x v="3"/>
    <s v="Montana"/>
    <s v="Billings"/>
    <x v="5"/>
    <n v="0.6"/>
    <n v="4500"/>
    <x v="52"/>
    <n v="675"/>
    <n v="0.25"/>
  </r>
  <r>
    <x v="3"/>
    <x v="3"/>
    <x v="111"/>
    <x v="3"/>
    <s v="Montana"/>
    <s v="Billings"/>
    <x v="0"/>
    <n v="0.45"/>
    <n v="5500"/>
    <x v="111"/>
    <n v="1113.75"/>
    <n v="0.45"/>
  </r>
  <r>
    <x v="3"/>
    <x v="3"/>
    <x v="111"/>
    <x v="3"/>
    <s v="Montana"/>
    <s v="Billings"/>
    <x v="1"/>
    <n v="0.5"/>
    <n v="5500"/>
    <x v="80"/>
    <n v="825"/>
    <n v="0.3"/>
  </r>
  <r>
    <x v="3"/>
    <x v="3"/>
    <x v="111"/>
    <x v="3"/>
    <s v="Montana"/>
    <s v="Billings"/>
    <x v="2"/>
    <n v="0.45"/>
    <n v="4000"/>
    <x v="207"/>
    <n v="810"/>
    <n v="0.45"/>
  </r>
  <r>
    <x v="3"/>
    <x v="3"/>
    <x v="111"/>
    <x v="3"/>
    <s v="Montana"/>
    <s v="Billings"/>
    <x v="3"/>
    <n v="0.45"/>
    <n v="3750"/>
    <x v="153"/>
    <n v="675"/>
    <n v="0.39999999999999997"/>
  </r>
  <r>
    <x v="3"/>
    <x v="3"/>
    <x v="111"/>
    <x v="3"/>
    <s v="Montana"/>
    <s v="Billings"/>
    <x v="4"/>
    <n v="0.54999999999999993"/>
    <n v="3500"/>
    <x v="237"/>
    <n v="1155"/>
    <n v="0.60000000000000009"/>
  </r>
  <r>
    <x v="3"/>
    <x v="3"/>
    <x v="111"/>
    <x v="3"/>
    <s v="Montana"/>
    <s v="Billings"/>
    <x v="5"/>
    <n v="0.6"/>
    <n v="4000"/>
    <x v="50"/>
    <n v="600"/>
    <n v="0.25"/>
  </r>
  <r>
    <x v="3"/>
    <x v="3"/>
    <x v="112"/>
    <x v="3"/>
    <s v="Montana"/>
    <s v="Billings"/>
    <x v="0"/>
    <n v="0.4"/>
    <n v="5750"/>
    <x v="336"/>
    <n v="1035"/>
    <n v="0.45"/>
  </r>
  <r>
    <x v="3"/>
    <x v="3"/>
    <x v="112"/>
    <x v="3"/>
    <s v="Montana"/>
    <s v="Billings"/>
    <x v="1"/>
    <n v="0.45000000000000007"/>
    <n v="5750"/>
    <x v="339"/>
    <n v="776.25000000000011"/>
    <n v="0.3"/>
  </r>
  <r>
    <x v="3"/>
    <x v="3"/>
    <x v="112"/>
    <x v="3"/>
    <s v="Montana"/>
    <s v="Billings"/>
    <x v="2"/>
    <n v="0.4"/>
    <n v="4250"/>
    <x v="234"/>
    <n v="765"/>
    <n v="0.45"/>
  </r>
  <r>
    <x v="3"/>
    <x v="3"/>
    <x v="112"/>
    <x v="3"/>
    <s v="Montana"/>
    <s v="Billings"/>
    <x v="3"/>
    <n v="0.4"/>
    <n v="4250"/>
    <x v="234"/>
    <n v="680"/>
    <n v="0.39999999999999997"/>
  </r>
  <r>
    <x v="3"/>
    <x v="3"/>
    <x v="112"/>
    <x v="3"/>
    <s v="Montana"/>
    <s v="Billings"/>
    <x v="4"/>
    <n v="0.54999999999999993"/>
    <n v="3750"/>
    <x v="210"/>
    <n v="1237.5"/>
    <n v="0.60000000000000009"/>
  </r>
  <r>
    <x v="3"/>
    <x v="3"/>
    <x v="112"/>
    <x v="3"/>
    <s v="Montana"/>
    <s v="Billings"/>
    <x v="5"/>
    <n v="0.6"/>
    <n v="4750"/>
    <x v="175"/>
    <n v="712.5"/>
    <n v="0.25"/>
  </r>
  <r>
    <x v="3"/>
    <x v="3"/>
    <x v="113"/>
    <x v="3"/>
    <s v="Montana"/>
    <s v="Billings"/>
    <x v="0"/>
    <n v="0.45"/>
    <n v="6750"/>
    <x v="112"/>
    <n v="1366.875"/>
    <n v="0.45"/>
  </r>
  <r>
    <x v="3"/>
    <x v="3"/>
    <x v="113"/>
    <x v="3"/>
    <s v="Montana"/>
    <s v="Billings"/>
    <x v="1"/>
    <n v="0.5"/>
    <n v="6750"/>
    <x v="73"/>
    <n v="1012.5"/>
    <n v="0.3"/>
  </r>
  <r>
    <x v="3"/>
    <x v="3"/>
    <x v="113"/>
    <x v="3"/>
    <s v="Montana"/>
    <s v="Billings"/>
    <x v="2"/>
    <n v="0.45"/>
    <n v="4750"/>
    <x v="115"/>
    <n v="961.875"/>
    <n v="0.45"/>
  </r>
  <r>
    <x v="3"/>
    <x v="3"/>
    <x v="113"/>
    <x v="3"/>
    <s v="Montana"/>
    <s v="Billings"/>
    <x v="3"/>
    <n v="0.45"/>
    <n v="4750"/>
    <x v="115"/>
    <n v="854.99999999999989"/>
    <n v="0.39999999999999997"/>
  </r>
  <r>
    <x v="3"/>
    <x v="3"/>
    <x v="113"/>
    <x v="3"/>
    <s v="Montana"/>
    <s v="Billings"/>
    <x v="4"/>
    <n v="0.54999999999999993"/>
    <n v="4000"/>
    <x v="208"/>
    <n v="1320"/>
    <n v="0.60000000000000009"/>
  </r>
  <r>
    <x v="3"/>
    <x v="3"/>
    <x v="113"/>
    <x v="3"/>
    <s v="Montana"/>
    <s v="Billings"/>
    <x v="5"/>
    <n v="0.6"/>
    <n v="5000"/>
    <x v="61"/>
    <n v="750"/>
    <n v="0.25"/>
  </r>
  <r>
    <x v="1"/>
    <x v="1"/>
    <x v="114"/>
    <x v="1"/>
    <s v="Tennessee"/>
    <s v="Knoxville"/>
    <x v="0"/>
    <n v="0.2"/>
    <n v="7000"/>
    <x v="340"/>
    <n v="489.99999999999994"/>
    <n v="0.35"/>
  </r>
  <r>
    <x v="1"/>
    <x v="1"/>
    <x v="114"/>
    <x v="1"/>
    <s v="Tennessee"/>
    <s v="Knoxville"/>
    <x v="1"/>
    <n v="0.3"/>
    <n v="7000"/>
    <x v="193"/>
    <n v="735"/>
    <n v="0.35"/>
  </r>
  <r>
    <x v="1"/>
    <x v="1"/>
    <x v="114"/>
    <x v="1"/>
    <s v="Tennessee"/>
    <s v="Knoxville"/>
    <x v="2"/>
    <n v="0.3"/>
    <n v="5000"/>
    <x v="146"/>
    <n v="525"/>
    <n v="0.35"/>
  </r>
  <r>
    <x v="1"/>
    <x v="1"/>
    <x v="114"/>
    <x v="1"/>
    <s v="Tennessee"/>
    <s v="Knoxville"/>
    <x v="3"/>
    <n v="0.35"/>
    <n v="5000"/>
    <x v="157"/>
    <n v="787.5"/>
    <n v="0.45"/>
  </r>
  <r>
    <x v="1"/>
    <x v="1"/>
    <x v="114"/>
    <x v="1"/>
    <s v="Tennessee"/>
    <s v="Knoxville"/>
    <x v="4"/>
    <n v="0.4"/>
    <n v="3500"/>
    <x v="340"/>
    <n v="420"/>
    <n v="0.3"/>
  </r>
  <r>
    <x v="1"/>
    <x v="1"/>
    <x v="114"/>
    <x v="1"/>
    <s v="Tennessee"/>
    <s v="Knoxville"/>
    <x v="5"/>
    <n v="0.35"/>
    <n v="5000"/>
    <x v="157"/>
    <n v="875"/>
    <n v="0.5"/>
  </r>
  <r>
    <x v="1"/>
    <x v="1"/>
    <x v="67"/>
    <x v="1"/>
    <s v="Tennessee"/>
    <s v="Knoxville"/>
    <x v="0"/>
    <n v="0.25"/>
    <n v="6500"/>
    <x v="132"/>
    <n v="568.75"/>
    <n v="0.35"/>
  </r>
  <r>
    <x v="1"/>
    <x v="1"/>
    <x v="67"/>
    <x v="1"/>
    <s v="Tennessee"/>
    <s v="Knoxville"/>
    <x v="1"/>
    <n v="0.35"/>
    <n v="6250"/>
    <x v="46"/>
    <n v="765.625"/>
    <n v="0.35"/>
  </r>
  <r>
    <x v="1"/>
    <x v="1"/>
    <x v="67"/>
    <x v="1"/>
    <s v="Tennessee"/>
    <s v="Knoxville"/>
    <x v="2"/>
    <n v="0.35"/>
    <n v="4500"/>
    <x v="151"/>
    <n v="551.25"/>
    <n v="0.35"/>
  </r>
  <r>
    <x v="1"/>
    <x v="1"/>
    <x v="67"/>
    <x v="1"/>
    <s v="Tennessee"/>
    <s v="Knoxville"/>
    <x v="3"/>
    <n v="0.35"/>
    <n v="4000"/>
    <x v="340"/>
    <n v="630"/>
    <n v="0.45"/>
  </r>
  <r>
    <x v="1"/>
    <x v="1"/>
    <x v="67"/>
    <x v="1"/>
    <s v="Tennessee"/>
    <s v="Knoxville"/>
    <x v="4"/>
    <n v="0.4"/>
    <n v="2750"/>
    <x v="130"/>
    <n v="330"/>
    <n v="0.3"/>
  </r>
  <r>
    <x v="1"/>
    <x v="1"/>
    <x v="67"/>
    <x v="1"/>
    <s v="Tennessee"/>
    <s v="Knoxville"/>
    <x v="5"/>
    <n v="0.35"/>
    <n v="4750"/>
    <x v="155"/>
    <n v="831.25"/>
    <n v="0.5"/>
  </r>
  <r>
    <x v="1"/>
    <x v="1"/>
    <x v="115"/>
    <x v="1"/>
    <s v="Tennessee"/>
    <s v="Knoxville"/>
    <x v="0"/>
    <n v="0.3"/>
    <n v="6500"/>
    <x v="212"/>
    <n v="779.99999999999989"/>
    <n v="0.39999999999999997"/>
  </r>
  <r>
    <x v="1"/>
    <x v="1"/>
    <x v="115"/>
    <x v="1"/>
    <s v="Tennessee"/>
    <s v="Knoxville"/>
    <x v="1"/>
    <n v="0.4"/>
    <n v="6500"/>
    <x v="51"/>
    <n v="1040"/>
    <n v="0.39999999999999997"/>
  </r>
  <r>
    <x v="1"/>
    <x v="1"/>
    <x v="115"/>
    <x v="1"/>
    <s v="Tennessee"/>
    <s v="Knoxville"/>
    <x v="2"/>
    <n v="0.3"/>
    <n v="4750"/>
    <x v="341"/>
    <n v="570"/>
    <n v="0.39999999999999997"/>
  </r>
  <r>
    <x v="1"/>
    <x v="1"/>
    <x v="115"/>
    <x v="1"/>
    <s v="Tennessee"/>
    <s v="Knoxville"/>
    <x v="3"/>
    <n v="0.35000000000000003"/>
    <n v="3750"/>
    <x v="342"/>
    <n v="656.25000000000011"/>
    <n v="0.5"/>
  </r>
  <r>
    <x v="1"/>
    <x v="1"/>
    <x v="115"/>
    <x v="1"/>
    <s v="Tennessee"/>
    <s v="Knoxville"/>
    <x v="4"/>
    <n v="0.4"/>
    <n v="2750"/>
    <x v="130"/>
    <n v="385"/>
    <n v="0.35"/>
  </r>
  <r>
    <x v="1"/>
    <x v="1"/>
    <x v="115"/>
    <x v="1"/>
    <s v="Tennessee"/>
    <s v="Knoxville"/>
    <x v="5"/>
    <n v="0.35000000000000003"/>
    <n v="4250"/>
    <x v="343"/>
    <n v="818.12500000000023"/>
    <n v="0.55000000000000004"/>
  </r>
  <r>
    <x v="1"/>
    <x v="1"/>
    <x v="50"/>
    <x v="1"/>
    <s v="Tennessee"/>
    <s v="Knoxville"/>
    <x v="0"/>
    <n v="0.19999999999999998"/>
    <n v="6750"/>
    <x v="198"/>
    <n v="540"/>
    <n v="0.39999999999999997"/>
  </r>
  <r>
    <x v="1"/>
    <x v="1"/>
    <x v="50"/>
    <x v="1"/>
    <s v="Tennessee"/>
    <s v="Knoxville"/>
    <x v="1"/>
    <n v="0.25000000000000006"/>
    <n v="6750"/>
    <x v="344"/>
    <n v="675.00000000000011"/>
    <n v="0.39999999999999997"/>
  </r>
  <r>
    <x v="1"/>
    <x v="1"/>
    <x v="50"/>
    <x v="1"/>
    <s v="Tennessee"/>
    <s v="Knoxville"/>
    <x v="2"/>
    <n v="0.19999999999999996"/>
    <n v="5000"/>
    <x v="329"/>
    <n v="399.99999999999989"/>
    <n v="0.39999999999999997"/>
  </r>
  <r>
    <x v="1"/>
    <x v="1"/>
    <x v="50"/>
    <x v="1"/>
    <s v="Tennessee"/>
    <s v="Knoxville"/>
    <x v="3"/>
    <n v="0.25000000000000006"/>
    <n v="4000"/>
    <x v="322"/>
    <n v="500.00000000000011"/>
    <n v="0.5"/>
  </r>
  <r>
    <x v="1"/>
    <x v="1"/>
    <x v="50"/>
    <x v="1"/>
    <s v="Tennessee"/>
    <s v="Knoxville"/>
    <x v="4"/>
    <n v="0.3"/>
    <n v="3000"/>
    <x v="124"/>
    <n v="315"/>
    <n v="0.35"/>
  </r>
  <r>
    <x v="1"/>
    <x v="1"/>
    <x v="50"/>
    <x v="1"/>
    <s v="Tennessee"/>
    <s v="Knoxville"/>
    <x v="5"/>
    <n v="0.25000000000000006"/>
    <n v="5750"/>
    <x v="345"/>
    <n v="790.62500000000023"/>
    <n v="0.55000000000000004"/>
  </r>
  <r>
    <x v="1"/>
    <x v="1"/>
    <x v="70"/>
    <x v="1"/>
    <s v="Tennessee"/>
    <s v="Knoxville"/>
    <x v="0"/>
    <n v="0.14999999999999997"/>
    <n v="7250"/>
    <x v="346"/>
    <n v="434.99999999999989"/>
    <n v="0.39999999999999997"/>
  </r>
  <r>
    <x v="1"/>
    <x v="1"/>
    <x v="70"/>
    <x v="1"/>
    <s v="Tennessee"/>
    <s v="Knoxville"/>
    <x v="1"/>
    <n v="0.25000000000000006"/>
    <n v="7500"/>
    <x v="347"/>
    <n v="750.00000000000011"/>
    <n v="0.39999999999999997"/>
  </r>
  <r>
    <x v="1"/>
    <x v="1"/>
    <x v="70"/>
    <x v="1"/>
    <s v="Tennessee"/>
    <s v="Knoxville"/>
    <x v="2"/>
    <n v="0.19999999999999996"/>
    <n v="6000"/>
    <x v="348"/>
    <n v="479.99999999999989"/>
    <n v="0.39999999999999997"/>
  </r>
  <r>
    <x v="1"/>
    <x v="1"/>
    <x v="70"/>
    <x v="1"/>
    <s v="Tennessee"/>
    <s v="Knoxville"/>
    <x v="3"/>
    <n v="0.30000000000000004"/>
    <n v="5250"/>
    <x v="160"/>
    <n v="787.50000000000011"/>
    <n v="0.5"/>
  </r>
  <r>
    <x v="1"/>
    <x v="1"/>
    <x v="70"/>
    <x v="1"/>
    <s v="Tennessee"/>
    <s v="Knoxville"/>
    <x v="4"/>
    <n v="0.45"/>
    <n v="4250"/>
    <x v="172"/>
    <n v="669.375"/>
    <n v="0.35"/>
  </r>
  <r>
    <x v="1"/>
    <x v="1"/>
    <x v="70"/>
    <x v="1"/>
    <s v="Tennessee"/>
    <s v="Knoxville"/>
    <x v="5"/>
    <n v="0.4"/>
    <n v="7750"/>
    <x v="349"/>
    <n v="1705.0000000000002"/>
    <n v="0.55000000000000004"/>
  </r>
  <r>
    <x v="1"/>
    <x v="1"/>
    <x v="71"/>
    <x v="1"/>
    <s v="Tennessee"/>
    <s v="Knoxville"/>
    <x v="0"/>
    <n v="0.4"/>
    <n v="7750"/>
    <x v="349"/>
    <n v="1240"/>
    <n v="0.39999999999999997"/>
  </r>
  <r>
    <x v="1"/>
    <x v="1"/>
    <x v="71"/>
    <x v="1"/>
    <s v="Tennessee"/>
    <s v="Knoxville"/>
    <x v="1"/>
    <n v="0.45"/>
    <n v="7750"/>
    <x v="290"/>
    <n v="1394.9999999999998"/>
    <n v="0.39999999999999997"/>
  </r>
  <r>
    <x v="1"/>
    <x v="1"/>
    <x v="71"/>
    <x v="1"/>
    <s v="Tennessee"/>
    <s v="Knoxville"/>
    <x v="2"/>
    <n v="0.4"/>
    <n v="6500"/>
    <x v="51"/>
    <n v="1040"/>
    <n v="0.39999999999999997"/>
  </r>
  <r>
    <x v="1"/>
    <x v="1"/>
    <x v="71"/>
    <x v="1"/>
    <s v="Tennessee"/>
    <s v="Knoxville"/>
    <x v="3"/>
    <n v="0.4"/>
    <n v="6000"/>
    <x v="50"/>
    <n v="1200"/>
    <n v="0.5"/>
  </r>
  <r>
    <x v="1"/>
    <x v="1"/>
    <x v="71"/>
    <x v="1"/>
    <s v="Tennessee"/>
    <s v="Knoxville"/>
    <x v="4"/>
    <n v="0.45"/>
    <n v="5000"/>
    <x v="39"/>
    <n v="787.5"/>
    <n v="0.35"/>
  </r>
  <r>
    <x v="1"/>
    <x v="1"/>
    <x v="71"/>
    <x v="1"/>
    <s v="Tennessee"/>
    <s v="Knoxville"/>
    <x v="5"/>
    <n v="0.5"/>
    <n v="8750"/>
    <x v="242"/>
    <n v="2406.25"/>
    <n v="0.55000000000000004"/>
  </r>
  <r>
    <x v="1"/>
    <x v="1"/>
    <x v="116"/>
    <x v="1"/>
    <s v="Tennessee"/>
    <s v="Knoxville"/>
    <x v="0"/>
    <n v="0.4"/>
    <n v="8250"/>
    <x v="211"/>
    <n v="1484.9999999999998"/>
    <n v="0.44999999999999996"/>
  </r>
  <r>
    <x v="1"/>
    <x v="1"/>
    <x v="116"/>
    <x v="1"/>
    <s v="Tennessee"/>
    <s v="Knoxville"/>
    <x v="1"/>
    <n v="0.45"/>
    <n v="8250"/>
    <x v="8"/>
    <n v="1670.6249999999998"/>
    <n v="0.44999999999999996"/>
  </r>
  <r>
    <x v="1"/>
    <x v="1"/>
    <x v="116"/>
    <x v="1"/>
    <s v="Tennessee"/>
    <s v="Knoxville"/>
    <x v="2"/>
    <n v="0.4"/>
    <n v="9750"/>
    <x v="87"/>
    <n v="1754.9999999999998"/>
    <n v="0.44999999999999996"/>
  </r>
  <r>
    <x v="1"/>
    <x v="1"/>
    <x v="116"/>
    <x v="1"/>
    <s v="Tennessee"/>
    <s v="Knoxville"/>
    <x v="3"/>
    <n v="0.4"/>
    <n v="5750"/>
    <x v="336"/>
    <n v="1265"/>
    <n v="0.55000000000000004"/>
  </r>
  <r>
    <x v="1"/>
    <x v="1"/>
    <x v="116"/>
    <x v="1"/>
    <s v="Tennessee"/>
    <s v="Knoxville"/>
    <x v="4"/>
    <n v="0.45"/>
    <n v="5500"/>
    <x v="111"/>
    <n v="989.99999999999989"/>
    <n v="0.39999999999999997"/>
  </r>
  <r>
    <x v="1"/>
    <x v="1"/>
    <x v="116"/>
    <x v="1"/>
    <s v="Tennessee"/>
    <s v="Knoxville"/>
    <x v="5"/>
    <n v="0.54999999999999993"/>
    <n v="8250"/>
    <x v="350"/>
    <n v="2722.5"/>
    <n v="0.60000000000000009"/>
  </r>
  <r>
    <x v="1"/>
    <x v="1"/>
    <x v="117"/>
    <x v="1"/>
    <s v="Tennessee"/>
    <s v="Knoxville"/>
    <x v="0"/>
    <n v="0.45"/>
    <n v="7750"/>
    <x v="290"/>
    <n v="1569.3749999999998"/>
    <n v="0.44999999999999996"/>
  </r>
  <r>
    <x v="1"/>
    <x v="1"/>
    <x v="117"/>
    <x v="1"/>
    <s v="Tennessee"/>
    <s v="Knoxville"/>
    <x v="1"/>
    <n v="0.55000000000000004"/>
    <n v="7750"/>
    <x v="100"/>
    <n v="1918.1249999999998"/>
    <n v="0.44999999999999996"/>
  </r>
  <r>
    <x v="1"/>
    <x v="1"/>
    <x v="117"/>
    <x v="1"/>
    <s v="Tennessee"/>
    <s v="Knoxville"/>
    <x v="2"/>
    <n v="0.5"/>
    <n v="9500"/>
    <x v="13"/>
    <n v="2137.5"/>
    <n v="0.44999999999999996"/>
  </r>
  <r>
    <x v="1"/>
    <x v="1"/>
    <x v="117"/>
    <x v="1"/>
    <s v="Tennessee"/>
    <s v="Knoxville"/>
    <x v="3"/>
    <n v="0.45"/>
    <n v="4750"/>
    <x v="115"/>
    <n v="1175.625"/>
    <n v="0.55000000000000004"/>
  </r>
  <r>
    <x v="1"/>
    <x v="1"/>
    <x v="117"/>
    <x v="1"/>
    <s v="Tennessee"/>
    <s v="Knoxville"/>
    <x v="4"/>
    <n v="0.5"/>
    <n v="4750"/>
    <x v="351"/>
    <n v="949.99999999999989"/>
    <n v="0.39999999999999997"/>
  </r>
  <r>
    <x v="1"/>
    <x v="1"/>
    <x v="117"/>
    <x v="1"/>
    <s v="Tennessee"/>
    <s v="Knoxville"/>
    <x v="5"/>
    <n v="0.54999999999999993"/>
    <n v="7250"/>
    <x v="352"/>
    <n v="2392.5"/>
    <n v="0.60000000000000009"/>
  </r>
  <r>
    <x v="1"/>
    <x v="1"/>
    <x v="74"/>
    <x v="1"/>
    <s v="Tennessee"/>
    <s v="Knoxville"/>
    <x v="0"/>
    <n v="0.5"/>
    <n v="6750"/>
    <x v="73"/>
    <n v="1518.7499999999998"/>
    <n v="0.44999999999999996"/>
  </r>
  <r>
    <x v="1"/>
    <x v="1"/>
    <x v="74"/>
    <x v="1"/>
    <s v="Tennessee"/>
    <s v="Knoxville"/>
    <x v="1"/>
    <n v="0.5"/>
    <n v="6250"/>
    <x v="66"/>
    <n v="1406.2499999999998"/>
    <n v="0.44999999999999996"/>
  </r>
  <r>
    <x v="1"/>
    <x v="1"/>
    <x v="74"/>
    <x v="1"/>
    <s v="Tennessee"/>
    <s v="Knoxville"/>
    <x v="2"/>
    <n v="0.54999999999999993"/>
    <n v="6750"/>
    <x v="353"/>
    <n v="1670.6249999999995"/>
    <n v="0.44999999999999996"/>
  </r>
  <r>
    <x v="1"/>
    <x v="1"/>
    <x v="74"/>
    <x v="1"/>
    <s v="Tennessee"/>
    <s v="Knoxville"/>
    <x v="3"/>
    <n v="0.54999999999999993"/>
    <n v="4000"/>
    <x v="208"/>
    <n v="1209.9999999999998"/>
    <n v="0.55000000000000004"/>
  </r>
  <r>
    <x v="1"/>
    <x v="1"/>
    <x v="74"/>
    <x v="1"/>
    <s v="Tennessee"/>
    <s v="Knoxville"/>
    <x v="4"/>
    <n v="0.5"/>
    <n v="4000"/>
    <x v="47"/>
    <n v="799.99999999999989"/>
    <n v="0.39999999999999997"/>
  </r>
  <r>
    <x v="1"/>
    <x v="1"/>
    <x v="74"/>
    <x v="1"/>
    <s v="Tennessee"/>
    <s v="Knoxville"/>
    <x v="5"/>
    <n v="0.45"/>
    <n v="6250"/>
    <x v="67"/>
    <n v="1687.5000000000002"/>
    <n v="0.60000000000000009"/>
  </r>
  <r>
    <x v="1"/>
    <x v="1"/>
    <x v="75"/>
    <x v="1"/>
    <s v="Tennessee"/>
    <s v="Knoxville"/>
    <x v="0"/>
    <n v="0.35000000000000003"/>
    <n v="5750"/>
    <x v="354"/>
    <n v="905.625"/>
    <n v="0.44999999999999996"/>
  </r>
  <r>
    <x v="1"/>
    <x v="1"/>
    <x v="75"/>
    <x v="1"/>
    <s v="Tennessee"/>
    <s v="Knoxville"/>
    <x v="1"/>
    <n v="0.35000000000000003"/>
    <n v="5750"/>
    <x v="354"/>
    <n v="905.625"/>
    <n v="0.44999999999999996"/>
  </r>
  <r>
    <x v="1"/>
    <x v="1"/>
    <x v="75"/>
    <x v="1"/>
    <s v="Tennessee"/>
    <s v="Knoxville"/>
    <x v="2"/>
    <n v="0.4"/>
    <n v="5250"/>
    <x v="193"/>
    <n v="944.99999999999989"/>
    <n v="0.44999999999999996"/>
  </r>
  <r>
    <x v="1"/>
    <x v="1"/>
    <x v="75"/>
    <x v="1"/>
    <s v="Tennessee"/>
    <s v="Knoxville"/>
    <x v="3"/>
    <n v="0.4"/>
    <n v="3750"/>
    <x v="146"/>
    <n v="825.00000000000011"/>
    <n v="0.55000000000000004"/>
  </r>
  <r>
    <x v="1"/>
    <x v="1"/>
    <x v="75"/>
    <x v="1"/>
    <s v="Tennessee"/>
    <s v="Knoxville"/>
    <x v="4"/>
    <n v="0.35000000000000003"/>
    <n v="3500"/>
    <x v="206"/>
    <n v="490.00000000000006"/>
    <n v="0.39999999999999997"/>
  </r>
  <r>
    <x v="1"/>
    <x v="1"/>
    <x v="75"/>
    <x v="1"/>
    <s v="Tennessee"/>
    <s v="Knoxville"/>
    <x v="5"/>
    <n v="0.45"/>
    <n v="5250"/>
    <x v="45"/>
    <n v="1417.5000000000002"/>
    <n v="0.60000000000000009"/>
  </r>
  <r>
    <x v="1"/>
    <x v="1"/>
    <x v="56"/>
    <x v="1"/>
    <s v="Tennessee"/>
    <s v="Knoxville"/>
    <x v="0"/>
    <n v="0.30000000000000004"/>
    <n v="6750"/>
    <x v="355"/>
    <n v="911.25"/>
    <n v="0.44999999999999996"/>
  </r>
  <r>
    <x v="1"/>
    <x v="1"/>
    <x v="56"/>
    <x v="1"/>
    <s v="Tennessee"/>
    <s v="Knoxville"/>
    <x v="1"/>
    <n v="0.30000000000000004"/>
    <n v="6750"/>
    <x v="355"/>
    <n v="911.25"/>
    <n v="0.44999999999999996"/>
  </r>
  <r>
    <x v="1"/>
    <x v="1"/>
    <x v="56"/>
    <x v="1"/>
    <s v="Tennessee"/>
    <s v="Knoxville"/>
    <x v="2"/>
    <n v="0.55000000000000004"/>
    <n v="6000"/>
    <x v="221"/>
    <n v="1485"/>
    <n v="0.44999999999999996"/>
  </r>
  <r>
    <x v="1"/>
    <x v="1"/>
    <x v="56"/>
    <x v="1"/>
    <s v="Tennessee"/>
    <s v="Knoxville"/>
    <x v="3"/>
    <n v="0.55000000000000004"/>
    <n v="4750"/>
    <x v="356"/>
    <n v="1436.8750000000002"/>
    <n v="0.55000000000000004"/>
  </r>
  <r>
    <x v="1"/>
    <x v="1"/>
    <x v="56"/>
    <x v="1"/>
    <s v="Tennessee"/>
    <s v="Knoxville"/>
    <x v="4"/>
    <n v="0.54999999999999993"/>
    <n v="4500"/>
    <x v="357"/>
    <n v="989.99999999999977"/>
    <n v="0.39999999999999997"/>
  </r>
  <r>
    <x v="1"/>
    <x v="1"/>
    <x v="56"/>
    <x v="1"/>
    <s v="Tennessee"/>
    <s v="Knoxville"/>
    <x v="5"/>
    <n v="0.65"/>
    <n v="6500"/>
    <x v="106"/>
    <n v="2535.0000000000005"/>
    <n v="0.60000000000000009"/>
  </r>
  <r>
    <x v="1"/>
    <x v="1"/>
    <x v="57"/>
    <x v="1"/>
    <s v="Tennessee"/>
    <s v="Knoxville"/>
    <x v="0"/>
    <n v="0.54999999999999993"/>
    <n v="8000"/>
    <x v="358"/>
    <n v="1979.9999999999993"/>
    <n v="0.44999999999999996"/>
  </r>
  <r>
    <x v="1"/>
    <x v="1"/>
    <x v="57"/>
    <x v="1"/>
    <s v="Tennessee"/>
    <s v="Knoxville"/>
    <x v="1"/>
    <n v="0.54999999999999993"/>
    <n v="8000"/>
    <x v="358"/>
    <n v="1979.9999999999993"/>
    <n v="0.44999999999999996"/>
  </r>
  <r>
    <x v="1"/>
    <x v="1"/>
    <x v="57"/>
    <x v="1"/>
    <s v="Tennessee"/>
    <s v="Knoxville"/>
    <x v="2"/>
    <n v="0.6"/>
    <n v="7000"/>
    <x v="81"/>
    <n v="1889.9999999999998"/>
    <n v="0.44999999999999996"/>
  </r>
  <r>
    <x v="1"/>
    <x v="1"/>
    <x v="57"/>
    <x v="1"/>
    <s v="Tennessee"/>
    <s v="Knoxville"/>
    <x v="3"/>
    <n v="0.6"/>
    <n v="5500"/>
    <x v="211"/>
    <n v="1815.0000000000002"/>
    <n v="0.55000000000000004"/>
  </r>
  <r>
    <x v="1"/>
    <x v="1"/>
    <x v="57"/>
    <x v="1"/>
    <s v="Tennessee"/>
    <s v="Knoxville"/>
    <x v="4"/>
    <n v="0.54999999999999993"/>
    <n v="5000"/>
    <x v="359"/>
    <n v="1099.9999999999998"/>
    <n v="0.39999999999999997"/>
  </r>
  <r>
    <x v="1"/>
    <x v="1"/>
    <x v="57"/>
    <x v="1"/>
    <s v="Tennessee"/>
    <s v="Knoxville"/>
    <x v="5"/>
    <n v="0.65"/>
    <n v="7500"/>
    <x v="64"/>
    <n v="2925.0000000000005"/>
    <n v="0.60000000000000009"/>
  </r>
  <r>
    <x v="0"/>
    <x v="0"/>
    <x v="118"/>
    <x v="3"/>
    <s v="Nebraska"/>
    <s v="Omaha"/>
    <x v="0"/>
    <n v="0.35"/>
    <n v="4250"/>
    <x v="156"/>
    <n v="595"/>
    <n v="0.4"/>
  </r>
  <r>
    <x v="0"/>
    <x v="0"/>
    <x v="118"/>
    <x v="3"/>
    <s v="Nebraska"/>
    <s v="Omaha"/>
    <x v="1"/>
    <n v="0.35"/>
    <n v="2250"/>
    <x v="120"/>
    <n v="275.625"/>
    <n v="0.35"/>
  </r>
  <r>
    <x v="0"/>
    <x v="0"/>
    <x v="118"/>
    <x v="3"/>
    <s v="Nebraska"/>
    <s v="Omaha"/>
    <x v="2"/>
    <n v="0.25"/>
    <n v="2250"/>
    <x v="180"/>
    <n v="196.875"/>
    <n v="0.35"/>
  </r>
  <r>
    <x v="0"/>
    <x v="0"/>
    <x v="118"/>
    <x v="3"/>
    <s v="Nebraska"/>
    <s v="Omaha"/>
    <x v="3"/>
    <n v="0.30000000000000004"/>
    <n v="750"/>
    <x v="312"/>
    <n v="90.000000000000014"/>
    <n v="0.4"/>
  </r>
  <r>
    <x v="0"/>
    <x v="0"/>
    <x v="118"/>
    <x v="3"/>
    <s v="Nebraska"/>
    <s v="Omaha"/>
    <x v="4"/>
    <n v="0.44999999999999996"/>
    <n v="1250"/>
    <x v="180"/>
    <n v="196.875"/>
    <n v="0.35"/>
  </r>
  <r>
    <x v="0"/>
    <x v="0"/>
    <x v="118"/>
    <x v="3"/>
    <s v="Nebraska"/>
    <s v="Omaha"/>
    <x v="5"/>
    <n v="0.35"/>
    <n v="2250"/>
    <x v="120"/>
    <n v="393.75"/>
    <n v="0.5"/>
  </r>
  <r>
    <x v="0"/>
    <x v="0"/>
    <x v="119"/>
    <x v="3"/>
    <s v="Nebraska"/>
    <s v="Omaha"/>
    <x v="0"/>
    <n v="0.35"/>
    <n v="4750"/>
    <x v="155"/>
    <n v="665"/>
    <n v="0.4"/>
  </r>
  <r>
    <x v="0"/>
    <x v="0"/>
    <x v="119"/>
    <x v="3"/>
    <s v="Nebraska"/>
    <s v="Omaha"/>
    <x v="1"/>
    <n v="0.35"/>
    <n v="1250"/>
    <x v="324"/>
    <n v="153.125"/>
    <n v="0.35"/>
  </r>
  <r>
    <x v="0"/>
    <x v="0"/>
    <x v="119"/>
    <x v="3"/>
    <s v="Nebraska"/>
    <s v="Omaha"/>
    <x v="2"/>
    <n v="0.25"/>
    <n v="1750"/>
    <x v="324"/>
    <n v="153.125"/>
    <n v="0.35"/>
  </r>
  <r>
    <x v="0"/>
    <x v="0"/>
    <x v="119"/>
    <x v="3"/>
    <s v="Nebraska"/>
    <s v="Omaha"/>
    <x v="3"/>
    <n v="0.30000000000000004"/>
    <n v="500"/>
    <x v="360"/>
    <n v="60.000000000000014"/>
    <n v="0.4"/>
  </r>
  <r>
    <x v="0"/>
    <x v="0"/>
    <x v="119"/>
    <x v="3"/>
    <s v="Nebraska"/>
    <s v="Omaha"/>
    <x v="4"/>
    <n v="0.44999999999999996"/>
    <n v="1250"/>
    <x v="180"/>
    <n v="196.875"/>
    <n v="0.35"/>
  </r>
  <r>
    <x v="0"/>
    <x v="0"/>
    <x v="119"/>
    <x v="3"/>
    <s v="Nebraska"/>
    <s v="Omaha"/>
    <x v="5"/>
    <n v="0.35"/>
    <n v="2000"/>
    <x v="135"/>
    <n v="350"/>
    <n v="0.5"/>
  </r>
  <r>
    <x v="0"/>
    <x v="0"/>
    <x v="2"/>
    <x v="3"/>
    <s v="Nebraska"/>
    <s v="Omaha"/>
    <x v="0"/>
    <n v="0.4"/>
    <n v="4200"/>
    <x v="361"/>
    <n v="672"/>
    <n v="0.4"/>
  </r>
  <r>
    <x v="0"/>
    <x v="0"/>
    <x v="2"/>
    <x v="3"/>
    <s v="Nebraska"/>
    <s v="Omaha"/>
    <x v="1"/>
    <n v="0.4"/>
    <n v="1000"/>
    <x v="122"/>
    <n v="140"/>
    <n v="0.35"/>
  </r>
  <r>
    <x v="0"/>
    <x v="0"/>
    <x v="2"/>
    <x v="3"/>
    <s v="Nebraska"/>
    <s v="Omaha"/>
    <x v="2"/>
    <n v="0.30000000000000004"/>
    <n v="1500"/>
    <x v="362"/>
    <n v="157.5"/>
    <n v="0.35"/>
  </r>
  <r>
    <x v="0"/>
    <x v="0"/>
    <x v="2"/>
    <x v="3"/>
    <s v="Nebraska"/>
    <s v="Omaha"/>
    <x v="3"/>
    <n v="0.35"/>
    <n v="0"/>
    <x v="363"/>
    <n v="0"/>
    <n v="0.4"/>
  </r>
  <r>
    <x v="0"/>
    <x v="0"/>
    <x v="2"/>
    <x v="3"/>
    <s v="Nebraska"/>
    <s v="Omaha"/>
    <x v="4"/>
    <n v="0.5"/>
    <n v="500"/>
    <x v="317"/>
    <n v="87.5"/>
    <n v="0.35"/>
  </r>
  <r>
    <x v="0"/>
    <x v="0"/>
    <x v="2"/>
    <x v="3"/>
    <s v="Nebraska"/>
    <s v="Omaha"/>
    <x v="5"/>
    <n v="0.4"/>
    <n v="1500"/>
    <x v="128"/>
    <n v="300"/>
    <n v="0.5"/>
  </r>
  <r>
    <x v="0"/>
    <x v="0"/>
    <x v="3"/>
    <x v="3"/>
    <s v="Nebraska"/>
    <s v="Omaha"/>
    <x v="0"/>
    <n v="0.4"/>
    <n v="3750"/>
    <x v="146"/>
    <n v="600"/>
    <n v="0.4"/>
  </r>
  <r>
    <x v="0"/>
    <x v="0"/>
    <x v="3"/>
    <x v="3"/>
    <s v="Nebraska"/>
    <s v="Omaha"/>
    <x v="1"/>
    <n v="0.35000000000000003"/>
    <n v="750"/>
    <x v="327"/>
    <n v="91.875"/>
    <n v="0.35"/>
  </r>
  <r>
    <x v="0"/>
    <x v="0"/>
    <x v="3"/>
    <x v="3"/>
    <s v="Nebraska"/>
    <s v="Omaha"/>
    <x v="2"/>
    <n v="0.25000000000000006"/>
    <n v="750"/>
    <x v="364"/>
    <n v="65.625"/>
    <n v="0.35"/>
  </r>
  <r>
    <x v="0"/>
    <x v="0"/>
    <x v="3"/>
    <x v="3"/>
    <s v="Nebraska"/>
    <s v="Omaha"/>
    <x v="3"/>
    <n v="0.3"/>
    <n v="0"/>
    <x v="363"/>
    <n v="0"/>
    <n v="0.4"/>
  </r>
  <r>
    <x v="0"/>
    <x v="0"/>
    <x v="3"/>
    <x v="3"/>
    <s v="Nebraska"/>
    <s v="Omaha"/>
    <x v="4"/>
    <n v="0.45"/>
    <n v="250"/>
    <x v="184"/>
    <n v="39.375"/>
    <n v="0.35"/>
  </r>
  <r>
    <x v="0"/>
    <x v="0"/>
    <x v="3"/>
    <x v="3"/>
    <s v="Nebraska"/>
    <s v="Omaha"/>
    <x v="5"/>
    <n v="0.35000000000000003"/>
    <n v="1500"/>
    <x v="311"/>
    <n v="262.5"/>
    <n v="0.5"/>
  </r>
  <r>
    <x v="0"/>
    <x v="0"/>
    <x v="120"/>
    <x v="3"/>
    <s v="Nebraska"/>
    <s v="Omaha"/>
    <x v="0"/>
    <n v="0.45"/>
    <n v="4200"/>
    <x v="365"/>
    <n v="756"/>
    <n v="0.4"/>
  </r>
  <r>
    <x v="0"/>
    <x v="0"/>
    <x v="120"/>
    <x v="3"/>
    <s v="Nebraska"/>
    <s v="Omaha"/>
    <x v="1"/>
    <n v="0.40000000000000008"/>
    <n v="1250"/>
    <x v="366"/>
    <n v="175.00000000000003"/>
    <n v="0.35"/>
  </r>
  <r>
    <x v="0"/>
    <x v="0"/>
    <x v="120"/>
    <x v="3"/>
    <s v="Nebraska"/>
    <s v="Omaha"/>
    <x v="2"/>
    <n v="0.35000000000000003"/>
    <n v="1000"/>
    <x v="367"/>
    <n v="122.50000000000001"/>
    <n v="0.35"/>
  </r>
  <r>
    <x v="0"/>
    <x v="0"/>
    <x v="120"/>
    <x v="3"/>
    <s v="Nebraska"/>
    <s v="Omaha"/>
    <x v="3"/>
    <n v="0.35000000000000003"/>
    <n v="250"/>
    <x v="368"/>
    <n v="35.000000000000007"/>
    <n v="0.4"/>
  </r>
  <r>
    <x v="0"/>
    <x v="0"/>
    <x v="120"/>
    <x v="3"/>
    <s v="Nebraska"/>
    <s v="Omaha"/>
    <x v="4"/>
    <n v="0.49999999999999994"/>
    <n v="500"/>
    <x v="369"/>
    <n v="87.499999999999986"/>
    <n v="0.35"/>
  </r>
  <r>
    <x v="0"/>
    <x v="0"/>
    <x v="120"/>
    <x v="3"/>
    <s v="Nebraska"/>
    <s v="Omaha"/>
    <x v="5"/>
    <n v="0.54999999999999993"/>
    <n v="1500"/>
    <x v="370"/>
    <n v="412.49999999999994"/>
    <n v="0.5"/>
  </r>
  <r>
    <x v="0"/>
    <x v="0"/>
    <x v="121"/>
    <x v="3"/>
    <s v="Nebraska"/>
    <s v="Omaha"/>
    <x v="0"/>
    <n v="0.4"/>
    <n v="4000"/>
    <x v="173"/>
    <n v="640"/>
    <n v="0.4"/>
  </r>
  <r>
    <x v="0"/>
    <x v="0"/>
    <x v="121"/>
    <x v="3"/>
    <s v="Nebraska"/>
    <s v="Omaha"/>
    <x v="1"/>
    <n v="0.35000000000000009"/>
    <n v="1500"/>
    <x v="314"/>
    <n v="183.75000000000003"/>
    <n v="0.35"/>
  </r>
  <r>
    <x v="0"/>
    <x v="0"/>
    <x v="121"/>
    <x v="3"/>
    <s v="Nebraska"/>
    <s v="Omaha"/>
    <x v="2"/>
    <n v="0.30000000000000004"/>
    <n v="1750"/>
    <x v="314"/>
    <n v="183.75000000000003"/>
    <n v="0.35"/>
  </r>
  <r>
    <x v="0"/>
    <x v="0"/>
    <x v="121"/>
    <x v="3"/>
    <s v="Nebraska"/>
    <s v="Omaha"/>
    <x v="3"/>
    <n v="0.30000000000000004"/>
    <n v="1500"/>
    <x v="362"/>
    <n v="180.00000000000003"/>
    <n v="0.4"/>
  </r>
  <r>
    <x v="0"/>
    <x v="0"/>
    <x v="121"/>
    <x v="3"/>
    <s v="Nebraska"/>
    <s v="Omaha"/>
    <x v="4"/>
    <n v="0.45"/>
    <n v="1500"/>
    <x v="321"/>
    <n v="236.24999999999997"/>
    <n v="0.35"/>
  </r>
  <r>
    <x v="0"/>
    <x v="0"/>
    <x v="121"/>
    <x v="3"/>
    <s v="Nebraska"/>
    <s v="Omaha"/>
    <x v="5"/>
    <n v="0.5"/>
    <n v="3250"/>
    <x v="132"/>
    <n v="812.5"/>
    <n v="0.5"/>
  </r>
  <r>
    <x v="0"/>
    <x v="0"/>
    <x v="6"/>
    <x v="3"/>
    <s v="Nebraska"/>
    <s v="Omaha"/>
    <x v="0"/>
    <n v="0.45"/>
    <n v="5500"/>
    <x v="111"/>
    <n v="990"/>
    <n v="0.4"/>
  </r>
  <r>
    <x v="0"/>
    <x v="0"/>
    <x v="6"/>
    <x v="3"/>
    <s v="Nebraska"/>
    <s v="Omaha"/>
    <x v="1"/>
    <n v="0.40000000000000008"/>
    <n v="3000"/>
    <x v="200"/>
    <n v="420.00000000000006"/>
    <n v="0.35"/>
  </r>
  <r>
    <x v="0"/>
    <x v="0"/>
    <x v="6"/>
    <x v="3"/>
    <s v="Nebraska"/>
    <s v="Omaha"/>
    <x v="2"/>
    <n v="0.35000000000000003"/>
    <n v="2250"/>
    <x v="121"/>
    <n v="275.625"/>
    <n v="0.35"/>
  </r>
  <r>
    <x v="0"/>
    <x v="0"/>
    <x v="6"/>
    <x v="3"/>
    <s v="Nebraska"/>
    <s v="Omaha"/>
    <x v="3"/>
    <n v="0.35000000000000003"/>
    <n v="1750"/>
    <x v="181"/>
    <n v="245.00000000000006"/>
    <n v="0.4"/>
  </r>
  <r>
    <x v="0"/>
    <x v="0"/>
    <x v="6"/>
    <x v="3"/>
    <s v="Nebraska"/>
    <s v="Omaha"/>
    <x v="4"/>
    <n v="0.45"/>
    <n v="1750"/>
    <x v="120"/>
    <n v="275.625"/>
    <n v="0.35"/>
  </r>
  <r>
    <x v="0"/>
    <x v="0"/>
    <x v="6"/>
    <x v="3"/>
    <s v="Nebraska"/>
    <s v="Omaha"/>
    <x v="5"/>
    <n v="0.5"/>
    <n v="3500"/>
    <x v="157"/>
    <n v="875"/>
    <n v="0.5"/>
  </r>
  <r>
    <x v="0"/>
    <x v="0"/>
    <x v="7"/>
    <x v="3"/>
    <s v="Nebraska"/>
    <s v="Omaha"/>
    <x v="0"/>
    <n v="0.45"/>
    <n v="5000"/>
    <x v="39"/>
    <n v="900"/>
    <n v="0.4"/>
  </r>
  <r>
    <x v="0"/>
    <x v="0"/>
    <x v="7"/>
    <x v="3"/>
    <s v="Nebraska"/>
    <s v="Omaha"/>
    <x v="1"/>
    <n v="0.45000000000000007"/>
    <n v="2750"/>
    <x v="371"/>
    <n v="433.12500000000006"/>
    <n v="0.35"/>
  </r>
  <r>
    <x v="0"/>
    <x v="0"/>
    <x v="7"/>
    <x v="3"/>
    <s v="Nebraska"/>
    <s v="Omaha"/>
    <x v="2"/>
    <n v="0.4"/>
    <n v="2000"/>
    <x v="134"/>
    <n v="280"/>
    <n v="0.35"/>
  </r>
  <r>
    <x v="0"/>
    <x v="0"/>
    <x v="7"/>
    <x v="3"/>
    <s v="Nebraska"/>
    <s v="Omaha"/>
    <x v="3"/>
    <n v="0.30000000000000004"/>
    <n v="1250"/>
    <x v="372"/>
    <n v="150.00000000000003"/>
    <n v="0.4"/>
  </r>
  <r>
    <x v="0"/>
    <x v="0"/>
    <x v="7"/>
    <x v="3"/>
    <s v="Nebraska"/>
    <s v="Omaha"/>
    <x v="4"/>
    <n v="0.4"/>
    <n v="1000"/>
    <x v="122"/>
    <n v="140"/>
    <n v="0.35"/>
  </r>
  <r>
    <x v="0"/>
    <x v="0"/>
    <x v="7"/>
    <x v="3"/>
    <s v="Nebraska"/>
    <s v="Omaha"/>
    <x v="5"/>
    <n v="0.45"/>
    <n v="2750"/>
    <x v="116"/>
    <n v="618.75"/>
    <n v="0.5"/>
  </r>
  <r>
    <x v="0"/>
    <x v="0"/>
    <x v="122"/>
    <x v="3"/>
    <s v="Nebraska"/>
    <s v="Omaha"/>
    <x v="0"/>
    <n v="0.4"/>
    <n v="4000"/>
    <x v="173"/>
    <n v="640"/>
    <n v="0.4"/>
  </r>
  <r>
    <x v="0"/>
    <x v="0"/>
    <x v="122"/>
    <x v="3"/>
    <s v="Nebraska"/>
    <s v="Omaha"/>
    <x v="1"/>
    <n v="0.35000000000000009"/>
    <n v="2000"/>
    <x v="373"/>
    <n v="245.00000000000006"/>
    <n v="0.35"/>
  </r>
  <r>
    <x v="0"/>
    <x v="0"/>
    <x v="122"/>
    <x v="3"/>
    <s v="Nebraska"/>
    <s v="Omaha"/>
    <x v="2"/>
    <n v="0.2"/>
    <n v="1000"/>
    <x v="182"/>
    <n v="70"/>
    <n v="0.35"/>
  </r>
  <r>
    <x v="0"/>
    <x v="0"/>
    <x v="122"/>
    <x v="3"/>
    <s v="Nebraska"/>
    <s v="Omaha"/>
    <x v="3"/>
    <n v="0.2"/>
    <n v="750"/>
    <x v="374"/>
    <n v="60"/>
    <n v="0.4"/>
  </r>
  <r>
    <x v="0"/>
    <x v="0"/>
    <x v="122"/>
    <x v="3"/>
    <s v="Nebraska"/>
    <s v="Omaha"/>
    <x v="4"/>
    <n v="0.3"/>
    <n v="750"/>
    <x v="375"/>
    <n v="78.75"/>
    <n v="0.35"/>
  </r>
  <r>
    <x v="0"/>
    <x v="0"/>
    <x v="122"/>
    <x v="3"/>
    <s v="Nebraska"/>
    <s v="Omaha"/>
    <x v="5"/>
    <n v="0.35000000000000003"/>
    <n v="1500"/>
    <x v="311"/>
    <n v="262.5"/>
    <n v="0.5"/>
  </r>
  <r>
    <x v="0"/>
    <x v="0"/>
    <x v="123"/>
    <x v="3"/>
    <s v="Nebraska"/>
    <s v="Omaha"/>
    <x v="0"/>
    <n v="0.39999999999999997"/>
    <n v="3250"/>
    <x v="194"/>
    <n v="520"/>
    <n v="0.4"/>
  </r>
  <r>
    <x v="0"/>
    <x v="0"/>
    <x v="123"/>
    <x v="3"/>
    <s v="Nebraska"/>
    <s v="Omaha"/>
    <x v="1"/>
    <n v="0.3"/>
    <n v="1500"/>
    <x v="185"/>
    <n v="157.5"/>
    <n v="0.35"/>
  </r>
  <r>
    <x v="0"/>
    <x v="0"/>
    <x v="123"/>
    <x v="3"/>
    <s v="Nebraska"/>
    <s v="Omaha"/>
    <x v="2"/>
    <n v="0.3"/>
    <n v="500"/>
    <x v="374"/>
    <n v="52.5"/>
    <n v="0.35"/>
  </r>
  <r>
    <x v="0"/>
    <x v="0"/>
    <x v="123"/>
    <x v="3"/>
    <s v="Nebraska"/>
    <s v="Omaha"/>
    <x v="3"/>
    <n v="0.3"/>
    <n v="250"/>
    <x v="376"/>
    <n v="30"/>
    <n v="0.4"/>
  </r>
  <r>
    <x v="0"/>
    <x v="0"/>
    <x v="123"/>
    <x v="3"/>
    <s v="Nebraska"/>
    <s v="Omaha"/>
    <x v="4"/>
    <n v="0.39999999999999997"/>
    <n v="250"/>
    <x v="377"/>
    <n v="34.999999999999993"/>
    <n v="0.35"/>
  </r>
  <r>
    <x v="0"/>
    <x v="0"/>
    <x v="123"/>
    <x v="3"/>
    <s v="Nebraska"/>
    <s v="Omaha"/>
    <x v="5"/>
    <n v="0.4499999999999999"/>
    <n v="1500"/>
    <x v="310"/>
    <n v="337.49999999999994"/>
    <n v="0.5"/>
  </r>
  <r>
    <x v="0"/>
    <x v="0"/>
    <x v="10"/>
    <x v="3"/>
    <s v="Nebraska"/>
    <s v="Omaha"/>
    <x v="0"/>
    <n v="0.4"/>
    <n v="3000"/>
    <x v="147"/>
    <n v="480"/>
    <n v="0.4"/>
  </r>
  <r>
    <x v="0"/>
    <x v="0"/>
    <x v="10"/>
    <x v="3"/>
    <s v="Nebraska"/>
    <s v="Omaha"/>
    <x v="1"/>
    <n v="0.30000000000000004"/>
    <n v="1500"/>
    <x v="362"/>
    <n v="157.5"/>
    <n v="0.35"/>
  </r>
  <r>
    <x v="0"/>
    <x v="0"/>
    <x v="10"/>
    <x v="3"/>
    <s v="Nebraska"/>
    <s v="Omaha"/>
    <x v="2"/>
    <n v="0.30000000000000004"/>
    <n v="950"/>
    <x v="378"/>
    <n v="99.750000000000014"/>
    <n v="0.35"/>
  </r>
  <r>
    <x v="0"/>
    <x v="0"/>
    <x v="10"/>
    <x v="3"/>
    <s v="Nebraska"/>
    <s v="Omaha"/>
    <x v="3"/>
    <n v="0.30000000000000004"/>
    <n v="1250"/>
    <x v="372"/>
    <n v="150.00000000000003"/>
    <n v="0.4"/>
  </r>
  <r>
    <x v="0"/>
    <x v="0"/>
    <x v="10"/>
    <x v="3"/>
    <s v="Nebraska"/>
    <s v="Omaha"/>
    <x v="4"/>
    <n v="0.49999999999999994"/>
    <n v="1000"/>
    <x v="379"/>
    <n v="174.99999999999997"/>
    <n v="0.35"/>
  </r>
  <r>
    <x v="0"/>
    <x v="0"/>
    <x v="10"/>
    <x v="3"/>
    <s v="Nebraska"/>
    <s v="Omaha"/>
    <x v="5"/>
    <n v="0.54999999999999982"/>
    <n v="2000"/>
    <x v="380"/>
    <n v="549.99999999999977"/>
    <n v="0.5"/>
  </r>
  <r>
    <x v="0"/>
    <x v="0"/>
    <x v="11"/>
    <x v="3"/>
    <s v="Nebraska"/>
    <s v="Omaha"/>
    <x v="0"/>
    <n v="0.49999999999999994"/>
    <n v="4500"/>
    <x v="381"/>
    <n v="899.99999999999989"/>
    <n v="0.4"/>
  </r>
  <r>
    <x v="0"/>
    <x v="0"/>
    <x v="11"/>
    <x v="3"/>
    <s v="Nebraska"/>
    <s v="Omaha"/>
    <x v="1"/>
    <n v="0.4"/>
    <n v="2500"/>
    <x v="123"/>
    <n v="350"/>
    <n v="0.35"/>
  </r>
  <r>
    <x v="0"/>
    <x v="0"/>
    <x v="11"/>
    <x v="3"/>
    <s v="Nebraska"/>
    <s v="Omaha"/>
    <x v="2"/>
    <n v="0.4"/>
    <n v="2000"/>
    <x v="134"/>
    <n v="280"/>
    <n v="0.35"/>
  </r>
  <r>
    <x v="0"/>
    <x v="0"/>
    <x v="11"/>
    <x v="3"/>
    <s v="Nebraska"/>
    <s v="Omaha"/>
    <x v="3"/>
    <n v="0.4"/>
    <n v="1500"/>
    <x v="128"/>
    <n v="240"/>
    <n v="0.4"/>
  </r>
  <r>
    <x v="0"/>
    <x v="0"/>
    <x v="11"/>
    <x v="3"/>
    <s v="Nebraska"/>
    <s v="Omaha"/>
    <x v="4"/>
    <n v="0.49999999999999994"/>
    <n v="1500"/>
    <x v="382"/>
    <n v="262.49999999999994"/>
    <n v="0.35"/>
  </r>
  <r>
    <x v="0"/>
    <x v="0"/>
    <x v="11"/>
    <x v="3"/>
    <s v="Nebraska"/>
    <s v="Omaha"/>
    <x v="5"/>
    <n v="0.54999999999999982"/>
    <n v="2500"/>
    <x v="383"/>
    <n v="687.49999999999977"/>
    <n v="0.5"/>
  </r>
  <r>
    <x v="1"/>
    <x v="1"/>
    <x v="12"/>
    <x v="1"/>
    <s v="Alabama"/>
    <s v="Birmingham"/>
    <x v="0"/>
    <n v="0.2"/>
    <n v="6750"/>
    <x v="198"/>
    <n v="540"/>
    <n v="0.39999999999999997"/>
  </r>
  <r>
    <x v="1"/>
    <x v="1"/>
    <x v="12"/>
    <x v="1"/>
    <s v="Alabama"/>
    <s v="Birmingham"/>
    <x v="1"/>
    <n v="0.3"/>
    <n v="6750"/>
    <x v="158"/>
    <n v="809.99999999999989"/>
    <n v="0.39999999999999997"/>
  </r>
  <r>
    <x v="1"/>
    <x v="1"/>
    <x v="12"/>
    <x v="1"/>
    <s v="Alabama"/>
    <s v="Birmingham"/>
    <x v="2"/>
    <n v="0.3"/>
    <n v="4750"/>
    <x v="341"/>
    <n v="570"/>
    <n v="0.39999999999999997"/>
  </r>
  <r>
    <x v="1"/>
    <x v="1"/>
    <x v="12"/>
    <x v="1"/>
    <s v="Alabama"/>
    <s v="Birmingham"/>
    <x v="3"/>
    <n v="0.35"/>
    <n v="4750"/>
    <x v="155"/>
    <n v="831.25"/>
    <n v="0.5"/>
  </r>
  <r>
    <x v="1"/>
    <x v="1"/>
    <x v="12"/>
    <x v="1"/>
    <s v="Alabama"/>
    <s v="Birmingham"/>
    <x v="4"/>
    <n v="0.4"/>
    <n v="3250"/>
    <x v="194"/>
    <n v="454.99999999999994"/>
    <n v="0.35"/>
  </r>
  <r>
    <x v="1"/>
    <x v="1"/>
    <x v="12"/>
    <x v="1"/>
    <s v="Alabama"/>
    <s v="Birmingham"/>
    <x v="5"/>
    <n v="0.35"/>
    <n v="4750"/>
    <x v="155"/>
    <n v="914.37500000000011"/>
    <n v="0.55000000000000004"/>
  </r>
  <r>
    <x v="1"/>
    <x v="1"/>
    <x v="13"/>
    <x v="1"/>
    <s v="Alabama"/>
    <s v="Birmingham"/>
    <x v="0"/>
    <n v="0.25"/>
    <n v="6250"/>
    <x v="384"/>
    <n v="625"/>
    <n v="0.39999999999999997"/>
  </r>
  <r>
    <x v="1"/>
    <x v="1"/>
    <x v="13"/>
    <x v="1"/>
    <s v="Alabama"/>
    <s v="Birmingham"/>
    <x v="1"/>
    <n v="0.35"/>
    <n v="6000"/>
    <x v="193"/>
    <n v="839.99999999999989"/>
    <n v="0.39999999999999997"/>
  </r>
  <r>
    <x v="1"/>
    <x v="1"/>
    <x v="13"/>
    <x v="1"/>
    <s v="Alabama"/>
    <s v="Birmingham"/>
    <x v="2"/>
    <n v="0.35"/>
    <n v="4250"/>
    <x v="156"/>
    <n v="595"/>
    <n v="0.39999999999999997"/>
  </r>
  <r>
    <x v="1"/>
    <x v="1"/>
    <x v="13"/>
    <x v="1"/>
    <s v="Alabama"/>
    <s v="Birmingham"/>
    <x v="3"/>
    <n v="0.35"/>
    <n v="3750"/>
    <x v="385"/>
    <n v="656.25"/>
    <n v="0.5"/>
  </r>
  <r>
    <x v="1"/>
    <x v="1"/>
    <x v="13"/>
    <x v="1"/>
    <s v="Alabama"/>
    <s v="Birmingham"/>
    <x v="4"/>
    <n v="0.4"/>
    <n v="2500"/>
    <x v="123"/>
    <n v="350"/>
    <n v="0.35"/>
  </r>
  <r>
    <x v="1"/>
    <x v="1"/>
    <x v="13"/>
    <x v="1"/>
    <s v="Alabama"/>
    <s v="Birmingham"/>
    <x v="5"/>
    <n v="0.35"/>
    <n v="4500"/>
    <x v="151"/>
    <n v="866.25000000000011"/>
    <n v="0.55000000000000004"/>
  </r>
  <r>
    <x v="1"/>
    <x v="1"/>
    <x v="14"/>
    <x v="1"/>
    <s v="Alabama"/>
    <s v="Birmingham"/>
    <x v="0"/>
    <n v="0.3"/>
    <n v="6250"/>
    <x v="203"/>
    <n v="843.74999999999989"/>
    <n v="0.44999999999999996"/>
  </r>
  <r>
    <x v="1"/>
    <x v="1"/>
    <x v="14"/>
    <x v="1"/>
    <s v="Alabama"/>
    <s v="Birmingham"/>
    <x v="1"/>
    <n v="0.4"/>
    <n v="6250"/>
    <x v="54"/>
    <n v="1125"/>
    <n v="0.44999999999999996"/>
  </r>
  <r>
    <x v="1"/>
    <x v="1"/>
    <x v="14"/>
    <x v="1"/>
    <s v="Alabama"/>
    <s v="Birmingham"/>
    <x v="2"/>
    <n v="0.3"/>
    <n v="4500"/>
    <x v="198"/>
    <n v="607.49999999999989"/>
    <n v="0.44999999999999996"/>
  </r>
  <r>
    <x v="1"/>
    <x v="1"/>
    <x v="14"/>
    <x v="1"/>
    <s v="Alabama"/>
    <s v="Birmingham"/>
    <x v="3"/>
    <n v="0.35000000000000003"/>
    <n v="3500"/>
    <x v="206"/>
    <n v="673.75000000000023"/>
    <n v="0.55000000000000004"/>
  </r>
  <r>
    <x v="1"/>
    <x v="1"/>
    <x v="14"/>
    <x v="1"/>
    <s v="Alabama"/>
    <s v="Birmingham"/>
    <x v="4"/>
    <n v="0.4"/>
    <n v="2500"/>
    <x v="123"/>
    <n v="399.99999999999994"/>
    <n v="0.39999999999999997"/>
  </r>
  <r>
    <x v="1"/>
    <x v="1"/>
    <x v="14"/>
    <x v="1"/>
    <s v="Alabama"/>
    <s v="Birmingham"/>
    <x v="5"/>
    <n v="0.35000000000000003"/>
    <n v="4000"/>
    <x v="159"/>
    <n v="840.00000000000023"/>
    <n v="0.60000000000000009"/>
  </r>
  <r>
    <x v="1"/>
    <x v="1"/>
    <x v="15"/>
    <x v="1"/>
    <s v="Alabama"/>
    <s v="Birmingham"/>
    <x v="0"/>
    <n v="0.19999999999999998"/>
    <n v="6500"/>
    <x v="194"/>
    <n v="584.99999999999989"/>
    <n v="0.44999999999999996"/>
  </r>
  <r>
    <x v="1"/>
    <x v="1"/>
    <x v="15"/>
    <x v="1"/>
    <s v="Alabama"/>
    <s v="Birmingham"/>
    <x v="1"/>
    <n v="0.20000000000000007"/>
    <n v="6500"/>
    <x v="386"/>
    <n v="585.00000000000011"/>
    <n v="0.44999999999999996"/>
  </r>
  <r>
    <x v="1"/>
    <x v="1"/>
    <x v="15"/>
    <x v="1"/>
    <s v="Alabama"/>
    <s v="Birmingham"/>
    <x v="2"/>
    <n v="0.14999999999999997"/>
    <n v="4750"/>
    <x v="387"/>
    <n v="320.62499999999994"/>
    <n v="0.44999999999999996"/>
  </r>
  <r>
    <x v="1"/>
    <x v="1"/>
    <x v="15"/>
    <x v="1"/>
    <s v="Alabama"/>
    <s v="Birmingham"/>
    <x v="3"/>
    <n v="0.20000000000000007"/>
    <n v="3750"/>
    <x v="388"/>
    <n v="412.50000000000017"/>
    <n v="0.55000000000000004"/>
  </r>
  <r>
    <x v="1"/>
    <x v="1"/>
    <x v="15"/>
    <x v="1"/>
    <s v="Alabama"/>
    <s v="Birmingham"/>
    <x v="4"/>
    <n v="0.25"/>
    <n v="2750"/>
    <x v="389"/>
    <n v="275"/>
    <n v="0.39999999999999997"/>
  </r>
  <r>
    <x v="1"/>
    <x v="1"/>
    <x v="15"/>
    <x v="1"/>
    <s v="Alabama"/>
    <s v="Birmingham"/>
    <x v="5"/>
    <n v="0.20000000000000007"/>
    <n v="5500"/>
    <x v="390"/>
    <n v="660.00000000000034"/>
    <n v="0.60000000000000009"/>
  </r>
  <r>
    <x v="1"/>
    <x v="1"/>
    <x v="16"/>
    <x v="1"/>
    <s v="Alabama"/>
    <s v="Birmingham"/>
    <x v="0"/>
    <n v="9.9999999999999964E-2"/>
    <n v="7000"/>
    <x v="391"/>
    <n v="314.99999999999989"/>
    <n v="0.44999999999999996"/>
  </r>
  <r>
    <x v="1"/>
    <x v="1"/>
    <x v="16"/>
    <x v="1"/>
    <s v="Alabama"/>
    <s v="Birmingham"/>
    <x v="1"/>
    <n v="0.20000000000000007"/>
    <n v="7250"/>
    <x v="392"/>
    <n v="652.50000000000011"/>
    <n v="0.44999999999999996"/>
  </r>
  <r>
    <x v="1"/>
    <x v="1"/>
    <x v="16"/>
    <x v="1"/>
    <s v="Alabama"/>
    <s v="Birmingham"/>
    <x v="2"/>
    <n v="0.14999999999999997"/>
    <n v="5750"/>
    <x v="393"/>
    <n v="388.12499999999989"/>
    <n v="0.44999999999999996"/>
  </r>
  <r>
    <x v="1"/>
    <x v="1"/>
    <x v="16"/>
    <x v="1"/>
    <s v="Alabama"/>
    <s v="Birmingham"/>
    <x v="3"/>
    <n v="0.35000000000000003"/>
    <n v="5000"/>
    <x v="191"/>
    <n v="962.50000000000023"/>
    <n v="0.55000000000000004"/>
  </r>
  <r>
    <x v="1"/>
    <x v="1"/>
    <x v="16"/>
    <x v="1"/>
    <s v="Alabama"/>
    <s v="Birmingham"/>
    <x v="4"/>
    <n v="0.5"/>
    <n v="4000"/>
    <x v="47"/>
    <n v="799.99999999999989"/>
    <n v="0.39999999999999997"/>
  </r>
  <r>
    <x v="1"/>
    <x v="1"/>
    <x v="16"/>
    <x v="1"/>
    <s v="Alabama"/>
    <s v="Birmingham"/>
    <x v="5"/>
    <n v="0.45"/>
    <n v="7500"/>
    <x v="73"/>
    <n v="2025.0000000000002"/>
    <n v="0.60000000000000009"/>
  </r>
  <r>
    <x v="1"/>
    <x v="1"/>
    <x v="17"/>
    <x v="1"/>
    <s v="Alabama"/>
    <s v="Birmingham"/>
    <x v="0"/>
    <n v="0.45"/>
    <n v="7500"/>
    <x v="73"/>
    <n v="1518.7499999999998"/>
    <n v="0.44999999999999996"/>
  </r>
  <r>
    <x v="1"/>
    <x v="1"/>
    <x v="17"/>
    <x v="1"/>
    <s v="Alabama"/>
    <s v="Birmingham"/>
    <x v="1"/>
    <n v="0.5"/>
    <n v="7500"/>
    <x v="69"/>
    <n v="1687.4999999999998"/>
    <n v="0.44999999999999996"/>
  </r>
  <r>
    <x v="1"/>
    <x v="1"/>
    <x v="17"/>
    <x v="1"/>
    <s v="Alabama"/>
    <s v="Birmingham"/>
    <x v="2"/>
    <n v="0.45"/>
    <n v="6500"/>
    <x v="62"/>
    <n v="1316.2499999999998"/>
    <n v="0.44999999999999996"/>
  </r>
  <r>
    <x v="1"/>
    <x v="1"/>
    <x v="17"/>
    <x v="1"/>
    <s v="Alabama"/>
    <s v="Birmingham"/>
    <x v="3"/>
    <n v="0.45"/>
    <n v="6000"/>
    <x v="52"/>
    <n v="1485.0000000000002"/>
    <n v="0.55000000000000004"/>
  </r>
  <r>
    <x v="1"/>
    <x v="1"/>
    <x v="17"/>
    <x v="1"/>
    <s v="Alabama"/>
    <s v="Birmingham"/>
    <x v="4"/>
    <n v="0.5"/>
    <n v="5000"/>
    <x v="54"/>
    <n v="999.99999999999989"/>
    <n v="0.39999999999999997"/>
  </r>
  <r>
    <x v="1"/>
    <x v="1"/>
    <x v="17"/>
    <x v="1"/>
    <s v="Alabama"/>
    <s v="Birmingham"/>
    <x v="5"/>
    <n v="0.55000000000000004"/>
    <n v="8750"/>
    <x v="30"/>
    <n v="2887.5000000000005"/>
    <n v="0.60000000000000009"/>
  </r>
  <r>
    <x v="1"/>
    <x v="1"/>
    <x v="18"/>
    <x v="1"/>
    <s v="Alabama"/>
    <s v="Birmingham"/>
    <x v="0"/>
    <n v="0.45"/>
    <n v="8250"/>
    <x v="8"/>
    <n v="1856.2499999999998"/>
    <n v="0.49999999999999994"/>
  </r>
  <r>
    <x v="1"/>
    <x v="1"/>
    <x v="18"/>
    <x v="1"/>
    <s v="Alabama"/>
    <s v="Birmingham"/>
    <x v="1"/>
    <n v="0.5"/>
    <n v="8250"/>
    <x v="71"/>
    <n v="2062.4999999999995"/>
    <n v="0.49999999999999994"/>
  </r>
  <r>
    <x v="1"/>
    <x v="1"/>
    <x v="18"/>
    <x v="1"/>
    <s v="Alabama"/>
    <s v="Birmingham"/>
    <x v="2"/>
    <n v="0.45"/>
    <n v="9750"/>
    <x v="83"/>
    <n v="2193.7499999999995"/>
    <n v="0.49999999999999994"/>
  </r>
  <r>
    <x v="1"/>
    <x v="1"/>
    <x v="18"/>
    <x v="1"/>
    <s v="Alabama"/>
    <s v="Birmingham"/>
    <x v="3"/>
    <n v="0.45"/>
    <n v="5750"/>
    <x v="70"/>
    <n v="1552.5000000000002"/>
    <n v="0.60000000000000009"/>
  </r>
  <r>
    <x v="1"/>
    <x v="1"/>
    <x v="18"/>
    <x v="1"/>
    <s v="Alabama"/>
    <s v="Birmingham"/>
    <x v="4"/>
    <n v="0.5"/>
    <n v="5250"/>
    <x v="48"/>
    <n v="1181.2499999999998"/>
    <n v="0.44999999999999996"/>
  </r>
  <r>
    <x v="1"/>
    <x v="1"/>
    <x v="18"/>
    <x v="1"/>
    <s v="Alabama"/>
    <s v="Birmingham"/>
    <x v="5"/>
    <n v="0.6"/>
    <n v="8000"/>
    <x v="213"/>
    <n v="3120.0000000000005"/>
    <n v="0.65000000000000013"/>
  </r>
  <r>
    <x v="1"/>
    <x v="1"/>
    <x v="19"/>
    <x v="1"/>
    <s v="Alabama"/>
    <s v="Birmingham"/>
    <x v="0"/>
    <n v="0.4"/>
    <n v="7500"/>
    <x v="61"/>
    <n v="1499.9999999999998"/>
    <n v="0.49999999999999994"/>
  </r>
  <r>
    <x v="1"/>
    <x v="1"/>
    <x v="19"/>
    <x v="1"/>
    <s v="Alabama"/>
    <s v="Birmingham"/>
    <x v="1"/>
    <n v="0.55000000000000004"/>
    <n v="7500"/>
    <x v="71"/>
    <n v="2062.4999999999995"/>
    <n v="0.49999999999999994"/>
  </r>
  <r>
    <x v="1"/>
    <x v="1"/>
    <x v="19"/>
    <x v="1"/>
    <s v="Alabama"/>
    <s v="Birmingham"/>
    <x v="2"/>
    <n v="0.55000000000000004"/>
    <n v="9250"/>
    <x v="16"/>
    <n v="2543.7499999999995"/>
    <n v="0.49999999999999994"/>
  </r>
  <r>
    <x v="1"/>
    <x v="1"/>
    <x v="19"/>
    <x v="1"/>
    <s v="Alabama"/>
    <s v="Birmingham"/>
    <x v="3"/>
    <n v="0.5"/>
    <n v="4250"/>
    <x v="43"/>
    <n v="1275.0000000000002"/>
    <n v="0.60000000000000009"/>
  </r>
  <r>
    <x v="1"/>
    <x v="1"/>
    <x v="19"/>
    <x v="1"/>
    <s v="Alabama"/>
    <s v="Birmingham"/>
    <x v="4"/>
    <n v="0.55000000000000004"/>
    <n v="4250"/>
    <x v="256"/>
    <n v="1051.875"/>
    <n v="0.44999999999999996"/>
  </r>
  <r>
    <x v="1"/>
    <x v="1"/>
    <x v="19"/>
    <x v="1"/>
    <s v="Alabama"/>
    <s v="Birmingham"/>
    <x v="5"/>
    <n v="0.6"/>
    <n v="6750"/>
    <x v="72"/>
    <n v="2632.5000000000005"/>
    <n v="0.65000000000000013"/>
  </r>
  <r>
    <x v="1"/>
    <x v="1"/>
    <x v="20"/>
    <x v="1"/>
    <s v="Alabama"/>
    <s v="Birmingham"/>
    <x v="0"/>
    <n v="0.55000000000000004"/>
    <n v="6250"/>
    <x v="337"/>
    <n v="1718.75"/>
    <n v="0.49999999999999994"/>
  </r>
  <r>
    <x v="1"/>
    <x v="1"/>
    <x v="20"/>
    <x v="1"/>
    <s v="Alabama"/>
    <s v="Birmingham"/>
    <x v="1"/>
    <n v="0.55000000000000004"/>
    <n v="5750"/>
    <x v="76"/>
    <n v="1581.25"/>
    <n v="0.49999999999999994"/>
  </r>
  <r>
    <x v="1"/>
    <x v="1"/>
    <x v="20"/>
    <x v="1"/>
    <s v="Alabama"/>
    <s v="Birmingham"/>
    <x v="2"/>
    <n v="0.6"/>
    <n v="6250"/>
    <x v="69"/>
    <n v="1874.9999999999998"/>
    <n v="0.49999999999999994"/>
  </r>
  <r>
    <x v="1"/>
    <x v="1"/>
    <x v="20"/>
    <x v="1"/>
    <s v="Alabama"/>
    <s v="Birmingham"/>
    <x v="3"/>
    <n v="0.6"/>
    <n v="3500"/>
    <x v="193"/>
    <n v="1260.0000000000002"/>
    <n v="0.60000000000000009"/>
  </r>
  <r>
    <x v="1"/>
    <x v="1"/>
    <x v="20"/>
    <x v="1"/>
    <s v="Alabama"/>
    <s v="Birmingham"/>
    <x v="4"/>
    <n v="0.45"/>
    <n v="3500"/>
    <x v="151"/>
    <n v="708.74999999999989"/>
    <n v="0.44999999999999996"/>
  </r>
  <r>
    <x v="1"/>
    <x v="1"/>
    <x v="20"/>
    <x v="1"/>
    <s v="Alabama"/>
    <s v="Birmingham"/>
    <x v="5"/>
    <n v="0.4"/>
    <n v="5750"/>
    <x v="336"/>
    <n v="1495.0000000000002"/>
    <n v="0.65000000000000013"/>
  </r>
  <r>
    <x v="1"/>
    <x v="1"/>
    <x v="21"/>
    <x v="1"/>
    <s v="Alabama"/>
    <s v="Birmingham"/>
    <x v="0"/>
    <n v="0.30000000000000004"/>
    <n v="5250"/>
    <x v="160"/>
    <n v="787.5"/>
    <n v="0.49999999999999994"/>
  </r>
  <r>
    <x v="1"/>
    <x v="1"/>
    <x v="21"/>
    <x v="1"/>
    <s v="Alabama"/>
    <s v="Birmingham"/>
    <x v="1"/>
    <n v="0.30000000000000004"/>
    <n v="5250"/>
    <x v="160"/>
    <n v="787.5"/>
    <n v="0.49999999999999994"/>
  </r>
  <r>
    <x v="1"/>
    <x v="1"/>
    <x v="21"/>
    <x v="1"/>
    <s v="Alabama"/>
    <s v="Birmingham"/>
    <x v="2"/>
    <n v="0.35000000000000003"/>
    <n v="4750"/>
    <x v="394"/>
    <n v="831.25"/>
    <n v="0.49999999999999994"/>
  </r>
  <r>
    <x v="1"/>
    <x v="1"/>
    <x v="21"/>
    <x v="1"/>
    <s v="Alabama"/>
    <s v="Birmingham"/>
    <x v="3"/>
    <n v="0.35000000000000003"/>
    <n v="3250"/>
    <x v="165"/>
    <n v="682.50000000000011"/>
    <n v="0.60000000000000009"/>
  </r>
  <r>
    <x v="1"/>
    <x v="1"/>
    <x v="21"/>
    <x v="1"/>
    <s v="Alabama"/>
    <s v="Birmingham"/>
    <x v="4"/>
    <n v="0.30000000000000004"/>
    <n v="3000"/>
    <x v="395"/>
    <n v="405"/>
    <n v="0.44999999999999996"/>
  </r>
  <r>
    <x v="1"/>
    <x v="1"/>
    <x v="21"/>
    <x v="1"/>
    <s v="Alabama"/>
    <s v="Birmingham"/>
    <x v="5"/>
    <n v="0.4"/>
    <n v="4750"/>
    <x v="235"/>
    <n v="1235.0000000000002"/>
    <n v="0.65000000000000013"/>
  </r>
  <r>
    <x v="1"/>
    <x v="1"/>
    <x v="22"/>
    <x v="1"/>
    <s v="Alabama"/>
    <s v="Birmingham"/>
    <x v="0"/>
    <n v="0.20000000000000004"/>
    <n v="6250"/>
    <x v="396"/>
    <n v="625"/>
    <n v="0.49999999999999994"/>
  </r>
  <r>
    <x v="1"/>
    <x v="1"/>
    <x v="22"/>
    <x v="1"/>
    <s v="Alabama"/>
    <s v="Birmingham"/>
    <x v="1"/>
    <n v="0.20000000000000004"/>
    <n v="6250"/>
    <x v="396"/>
    <n v="625"/>
    <n v="0.49999999999999994"/>
  </r>
  <r>
    <x v="1"/>
    <x v="1"/>
    <x v="22"/>
    <x v="1"/>
    <s v="Alabama"/>
    <s v="Birmingham"/>
    <x v="2"/>
    <n v="0.45000000000000007"/>
    <n v="5750"/>
    <x v="339"/>
    <n v="1293.75"/>
    <n v="0.49999999999999994"/>
  </r>
  <r>
    <x v="1"/>
    <x v="1"/>
    <x v="22"/>
    <x v="1"/>
    <s v="Alabama"/>
    <s v="Birmingham"/>
    <x v="3"/>
    <n v="0.45000000000000007"/>
    <n v="4500"/>
    <x v="355"/>
    <n v="1215.0000000000002"/>
    <n v="0.60000000000000009"/>
  </r>
  <r>
    <x v="1"/>
    <x v="1"/>
    <x v="22"/>
    <x v="1"/>
    <s v="Alabama"/>
    <s v="Birmingham"/>
    <x v="4"/>
    <n v="0.49999999999999994"/>
    <n v="4250"/>
    <x v="397"/>
    <n v="956.24999999999966"/>
    <n v="0.44999999999999996"/>
  </r>
  <r>
    <x v="1"/>
    <x v="1"/>
    <x v="22"/>
    <x v="1"/>
    <s v="Alabama"/>
    <s v="Birmingham"/>
    <x v="5"/>
    <n v="0.6"/>
    <n v="6250"/>
    <x v="69"/>
    <n v="2437.5000000000005"/>
    <n v="0.65000000000000013"/>
  </r>
  <r>
    <x v="1"/>
    <x v="1"/>
    <x v="23"/>
    <x v="1"/>
    <s v="Alabama"/>
    <s v="Birmingham"/>
    <x v="0"/>
    <n v="0.6"/>
    <n v="7750"/>
    <x v="171"/>
    <n v="2324.9999999999995"/>
    <n v="0.49999999999999994"/>
  </r>
  <r>
    <x v="1"/>
    <x v="1"/>
    <x v="23"/>
    <x v="1"/>
    <s v="Alabama"/>
    <s v="Birmingham"/>
    <x v="1"/>
    <n v="0.6"/>
    <n v="7750"/>
    <x v="171"/>
    <n v="2324.9999999999995"/>
    <n v="0.49999999999999994"/>
  </r>
  <r>
    <x v="1"/>
    <x v="1"/>
    <x v="23"/>
    <x v="1"/>
    <s v="Alabama"/>
    <s v="Birmingham"/>
    <x v="2"/>
    <n v="0.65"/>
    <n v="7000"/>
    <x v="109"/>
    <n v="2274.9999999999995"/>
    <n v="0.49999999999999994"/>
  </r>
  <r>
    <x v="1"/>
    <x v="1"/>
    <x v="23"/>
    <x v="1"/>
    <s v="Alabama"/>
    <s v="Birmingham"/>
    <x v="3"/>
    <n v="0.65"/>
    <n v="5500"/>
    <x v="88"/>
    <n v="2145.0000000000005"/>
    <n v="0.60000000000000009"/>
  </r>
  <r>
    <x v="1"/>
    <x v="1"/>
    <x v="23"/>
    <x v="1"/>
    <s v="Alabama"/>
    <s v="Birmingham"/>
    <x v="4"/>
    <n v="0.6"/>
    <n v="5000"/>
    <x v="61"/>
    <n v="1349.9999999999998"/>
    <n v="0.44999999999999996"/>
  </r>
  <r>
    <x v="1"/>
    <x v="1"/>
    <x v="23"/>
    <x v="1"/>
    <s v="Alabama"/>
    <s v="Birmingham"/>
    <x v="5"/>
    <n v="0.70000000000000007"/>
    <n v="7500"/>
    <x v="103"/>
    <n v="3412.5000000000014"/>
    <n v="0.65000000000000013"/>
  </r>
  <r>
    <x v="0"/>
    <x v="0"/>
    <x v="124"/>
    <x v="0"/>
    <s v="Maine"/>
    <s v="Portland"/>
    <x v="0"/>
    <n v="0.4"/>
    <n v="4500"/>
    <x v="207"/>
    <n v="630"/>
    <n v="0.35"/>
  </r>
  <r>
    <x v="0"/>
    <x v="0"/>
    <x v="124"/>
    <x v="0"/>
    <s v="Maine"/>
    <s v="Portland"/>
    <x v="1"/>
    <n v="0.4"/>
    <n v="2500"/>
    <x v="123"/>
    <n v="350"/>
    <n v="0.35"/>
  </r>
  <r>
    <x v="0"/>
    <x v="0"/>
    <x v="124"/>
    <x v="0"/>
    <s v="Maine"/>
    <s v="Portland"/>
    <x v="2"/>
    <n v="0.30000000000000004"/>
    <n v="2500"/>
    <x v="398"/>
    <n v="300"/>
    <n v="0.39999999999999997"/>
  </r>
  <r>
    <x v="0"/>
    <x v="0"/>
    <x v="124"/>
    <x v="0"/>
    <s v="Maine"/>
    <s v="Portland"/>
    <x v="3"/>
    <n v="0.35"/>
    <n v="1000"/>
    <x v="326"/>
    <n v="105"/>
    <n v="0.3"/>
  </r>
  <r>
    <x v="0"/>
    <x v="0"/>
    <x v="124"/>
    <x v="0"/>
    <s v="Maine"/>
    <s v="Portland"/>
    <x v="4"/>
    <n v="0.5"/>
    <n v="1500"/>
    <x v="126"/>
    <n v="187.5"/>
    <n v="0.25"/>
  </r>
  <r>
    <x v="0"/>
    <x v="0"/>
    <x v="124"/>
    <x v="0"/>
    <s v="Maine"/>
    <s v="Portland"/>
    <x v="5"/>
    <n v="0.4"/>
    <n v="2500"/>
    <x v="123"/>
    <n v="400"/>
    <n v="0.4"/>
  </r>
  <r>
    <x v="0"/>
    <x v="0"/>
    <x v="125"/>
    <x v="0"/>
    <s v="Maine"/>
    <s v="Portland"/>
    <x v="0"/>
    <n v="0.4"/>
    <n v="5000"/>
    <x v="47"/>
    <n v="700"/>
    <n v="0.35"/>
  </r>
  <r>
    <x v="0"/>
    <x v="0"/>
    <x v="125"/>
    <x v="0"/>
    <s v="Maine"/>
    <s v="Portland"/>
    <x v="1"/>
    <n v="0.4"/>
    <n v="1500"/>
    <x v="128"/>
    <n v="210"/>
    <n v="0.35"/>
  </r>
  <r>
    <x v="0"/>
    <x v="0"/>
    <x v="125"/>
    <x v="0"/>
    <s v="Maine"/>
    <s v="Portland"/>
    <x v="2"/>
    <n v="0.30000000000000004"/>
    <n v="2000"/>
    <x v="399"/>
    <n v="240.00000000000003"/>
    <n v="0.39999999999999997"/>
  </r>
  <r>
    <x v="0"/>
    <x v="0"/>
    <x v="125"/>
    <x v="0"/>
    <s v="Maine"/>
    <s v="Portland"/>
    <x v="3"/>
    <n v="0.35"/>
    <n v="750"/>
    <x v="327"/>
    <n v="78.75"/>
    <n v="0.3"/>
  </r>
  <r>
    <x v="0"/>
    <x v="0"/>
    <x v="125"/>
    <x v="0"/>
    <s v="Maine"/>
    <s v="Portland"/>
    <x v="4"/>
    <n v="0.5"/>
    <n v="1500"/>
    <x v="126"/>
    <n v="187.5"/>
    <n v="0.25"/>
  </r>
  <r>
    <x v="0"/>
    <x v="0"/>
    <x v="125"/>
    <x v="0"/>
    <s v="Maine"/>
    <s v="Portland"/>
    <x v="5"/>
    <n v="0.4"/>
    <n v="2500"/>
    <x v="123"/>
    <n v="400"/>
    <n v="0.4"/>
  </r>
  <r>
    <x v="0"/>
    <x v="0"/>
    <x v="126"/>
    <x v="0"/>
    <s v="Maine"/>
    <s v="Portland"/>
    <x v="0"/>
    <n v="0.4"/>
    <n v="4700"/>
    <x v="400"/>
    <n v="658"/>
    <n v="0.35"/>
  </r>
  <r>
    <x v="0"/>
    <x v="0"/>
    <x v="126"/>
    <x v="0"/>
    <s v="Maine"/>
    <s v="Portland"/>
    <x v="1"/>
    <n v="0.4"/>
    <n v="1750"/>
    <x v="135"/>
    <n v="244.99999999999997"/>
    <n v="0.35"/>
  </r>
  <r>
    <x v="0"/>
    <x v="0"/>
    <x v="126"/>
    <x v="0"/>
    <s v="Maine"/>
    <s v="Portland"/>
    <x v="2"/>
    <n v="0.30000000000000004"/>
    <n v="2000"/>
    <x v="399"/>
    <n v="240.00000000000003"/>
    <n v="0.39999999999999997"/>
  </r>
  <r>
    <x v="0"/>
    <x v="0"/>
    <x v="126"/>
    <x v="0"/>
    <s v="Maine"/>
    <s v="Portland"/>
    <x v="3"/>
    <n v="0.35"/>
    <n v="500"/>
    <x v="401"/>
    <n v="52.5"/>
    <n v="0.3"/>
  </r>
  <r>
    <x v="0"/>
    <x v="0"/>
    <x v="126"/>
    <x v="0"/>
    <s v="Maine"/>
    <s v="Portland"/>
    <x v="4"/>
    <n v="0.5"/>
    <n v="1000"/>
    <x v="118"/>
    <n v="125"/>
    <n v="0.25"/>
  </r>
  <r>
    <x v="0"/>
    <x v="0"/>
    <x v="126"/>
    <x v="0"/>
    <s v="Maine"/>
    <s v="Portland"/>
    <x v="5"/>
    <n v="0.4"/>
    <n v="2000"/>
    <x v="134"/>
    <n v="320"/>
    <n v="0.4"/>
  </r>
  <r>
    <x v="0"/>
    <x v="0"/>
    <x v="127"/>
    <x v="0"/>
    <s v="Maine"/>
    <s v="Portland"/>
    <x v="0"/>
    <n v="0.4"/>
    <n v="4500"/>
    <x v="207"/>
    <n v="630"/>
    <n v="0.35"/>
  </r>
  <r>
    <x v="0"/>
    <x v="0"/>
    <x v="127"/>
    <x v="0"/>
    <s v="Maine"/>
    <s v="Portland"/>
    <x v="1"/>
    <n v="0.4"/>
    <n v="1500"/>
    <x v="128"/>
    <n v="210"/>
    <n v="0.35"/>
  </r>
  <r>
    <x v="0"/>
    <x v="0"/>
    <x v="127"/>
    <x v="0"/>
    <s v="Maine"/>
    <s v="Portland"/>
    <x v="2"/>
    <n v="0.30000000000000004"/>
    <n v="1500"/>
    <x v="362"/>
    <n v="180"/>
    <n v="0.39999999999999997"/>
  </r>
  <r>
    <x v="0"/>
    <x v="0"/>
    <x v="127"/>
    <x v="0"/>
    <s v="Maine"/>
    <s v="Portland"/>
    <x v="3"/>
    <n v="0.35"/>
    <n v="750"/>
    <x v="327"/>
    <n v="78.75"/>
    <n v="0.3"/>
  </r>
  <r>
    <x v="0"/>
    <x v="0"/>
    <x v="127"/>
    <x v="0"/>
    <s v="Maine"/>
    <s v="Portland"/>
    <x v="4"/>
    <n v="0.5"/>
    <n v="750"/>
    <x v="316"/>
    <n v="93.75"/>
    <n v="0.25"/>
  </r>
  <r>
    <x v="0"/>
    <x v="0"/>
    <x v="127"/>
    <x v="0"/>
    <s v="Maine"/>
    <s v="Portland"/>
    <x v="5"/>
    <n v="0.4"/>
    <n v="2250"/>
    <x v="124"/>
    <n v="360"/>
    <n v="0.4"/>
  </r>
  <r>
    <x v="0"/>
    <x v="0"/>
    <x v="128"/>
    <x v="0"/>
    <s v="Maine"/>
    <s v="Portland"/>
    <x v="0"/>
    <n v="0.54999999999999993"/>
    <n v="4950"/>
    <x v="402"/>
    <n v="952.87499999999977"/>
    <n v="0.35"/>
  </r>
  <r>
    <x v="0"/>
    <x v="0"/>
    <x v="128"/>
    <x v="0"/>
    <s v="Maine"/>
    <s v="Portland"/>
    <x v="1"/>
    <n v="0.5"/>
    <n v="2000"/>
    <x v="123"/>
    <n v="350"/>
    <n v="0.35"/>
  </r>
  <r>
    <x v="0"/>
    <x v="0"/>
    <x v="128"/>
    <x v="0"/>
    <s v="Maine"/>
    <s v="Portland"/>
    <x v="2"/>
    <n v="0.45"/>
    <n v="1750"/>
    <x v="120"/>
    <n v="315"/>
    <n v="0.39999999999999997"/>
  </r>
  <r>
    <x v="0"/>
    <x v="0"/>
    <x v="128"/>
    <x v="0"/>
    <s v="Maine"/>
    <s v="Portland"/>
    <x v="3"/>
    <n v="0.45"/>
    <n v="1250"/>
    <x v="180"/>
    <n v="168.75"/>
    <n v="0.3"/>
  </r>
  <r>
    <x v="0"/>
    <x v="0"/>
    <x v="128"/>
    <x v="0"/>
    <s v="Maine"/>
    <s v="Portland"/>
    <x v="4"/>
    <n v="0.54999999999999993"/>
    <n v="1500"/>
    <x v="370"/>
    <n v="206.24999999999997"/>
    <n v="0.25"/>
  </r>
  <r>
    <x v="0"/>
    <x v="0"/>
    <x v="128"/>
    <x v="0"/>
    <s v="Maine"/>
    <s v="Portland"/>
    <x v="5"/>
    <n v="0.6"/>
    <n v="2750"/>
    <x v="240"/>
    <n v="660"/>
    <n v="0.4"/>
  </r>
  <r>
    <x v="0"/>
    <x v="0"/>
    <x v="129"/>
    <x v="0"/>
    <s v="Maine"/>
    <s v="Portland"/>
    <x v="0"/>
    <n v="0.54999999999999993"/>
    <n v="5250"/>
    <x v="403"/>
    <n v="1010.6249999999998"/>
    <n v="0.35"/>
  </r>
  <r>
    <x v="0"/>
    <x v="0"/>
    <x v="129"/>
    <x v="0"/>
    <s v="Maine"/>
    <s v="Portland"/>
    <x v="1"/>
    <n v="0.5"/>
    <n v="2750"/>
    <x v="140"/>
    <n v="481.24999999999994"/>
    <n v="0.35"/>
  </r>
  <r>
    <x v="0"/>
    <x v="0"/>
    <x v="129"/>
    <x v="0"/>
    <s v="Maine"/>
    <s v="Portland"/>
    <x v="2"/>
    <n v="0.45"/>
    <n v="2000"/>
    <x v="124"/>
    <n v="359.99999999999994"/>
    <n v="0.39999999999999997"/>
  </r>
  <r>
    <x v="0"/>
    <x v="0"/>
    <x v="129"/>
    <x v="0"/>
    <s v="Maine"/>
    <s v="Portland"/>
    <x v="3"/>
    <n v="0.45"/>
    <n v="1750"/>
    <x v="120"/>
    <n v="236.25"/>
    <n v="0.3"/>
  </r>
  <r>
    <x v="0"/>
    <x v="0"/>
    <x v="129"/>
    <x v="0"/>
    <s v="Maine"/>
    <s v="Portland"/>
    <x v="4"/>
    <n v="0.54999999999999993"/>
    <n v="1750"/>
    <x v="119"/>
    <n v="240.62499999999997"/>
    <n v="0.25"/>
  </r>
  <r>
    <x v="0"/>
    <x v="0"/>
    <x v="129"/>
    <x v="0"/>
    <s v="Maine"/>
    <s v="Portland"/>
    <x v="5"/>
    <n v="0.6"/>
    <n v="3250"/>
    <x v="212"/>
    <n v="780"/>
    <n v="0.4"/>
  </r>
  <r>
    <x v="0"/>
    <x v="0"/>
    <x v="130"/>
    <x v="0"/>
    <s v="Maine"/>
    <s v="Portland"/>
    <x v="0"/>
    <n v="0.54999999999999993"/>
    <n v="5500"/>
    <x v="404"/>
    <n v="1058.7499999999998"/>
    <n v="0.35"/>
  </r>
  <r>
    <x v="0"/>
    <x v="0"/>
    <x v="130"/>
    <x v="0"/>
    <s v="Maine"/>
    <s v="Portland"/>
    <x v="1"/>
    <n v="0.5"/>
    <n v="3000"/>
    <x v="146"/>
    <n v="525"/>
    <n v="0.35"/>
  </r>
  <r>
    <x v="0"/>
    <x v="0"/>
    <x v="130"/>
    <x v="0"/>
    <s v="Maine"/>
    <s v="Portland"/>
    <x v="2"/>
    <n v="0.45"/>
    <n v="2250"/>
    <x v="177"/>
    <n v="404.99999999999994"/>
    <n v="0.39999999999999997"/>
  </r>
  <r>
    <x v="0"/>
    <x v="0"/>
    <x v="130"/>
    <x v="0"/>
    <s v="Maine"/>
    <s v="Portland"/>
    <x v="3"/>
    <n v="0.45"/>
    <n v="1750"/>
    <x v="120"/>
    <n v="236.25"/>
    <n v="0.3"/>
  </r>
  <r>
    <x v="0"/>
    <x v="0"/>
    <x v="130"/>
    <x v="0"/>
    <s v="Maine"/>
    <s v="Portland"/>
    <x v="4"/>
    <n v="0.54999999999999993"/>
    <n v="2000"/>
    <x v="405"/>
    <n v="274.99999999999994"/>
    <n v="0.25"/>
  </r>
  <r>
    <x v="0"/>
    <x v="0"/>
    <x v="130"/>
    <x v="0"/>
    <s v="Maine"/>
    <s v="Portland"/>
    <x v="5"/>
    <n v="0.6"/>
    <n v="3750"/>
    <x v="39"/>
    <n v="900"/>
    <n v="0.4"/>
  </r>
  <r>
    <x v="0"/>
    <x v="0"/>
    <x v="131"/>
    <x v="0"/>
    <s v="Maine"/>
    <s v="Portland"/>
    <x v="0"/>
    <n v="0.54999999999999993"/>
    <n v="5250"/>
    <x v="403"/>
    <n v="1010.6249999999998"/>
    <n v="0.35"/>
  </r>
  <r>
    <x v="0"/>
    <x v="0"/>
    <x v="131"/>
    <x v="0"/>
    <s v="Maine"/>
    <s v="Portland"/>
    <x v="1"/>
    <n v="0.5"/>
    <n v="3000"/>
    <x v="146"/>
    <n v="525"/>
    <n v="0.35"/>
  </r>
  <r>
    <x v="0"/>
    <x v="0"/>
    <x v="131"/>
    <x v="0"/>
    <s v="Maine"/>
    <s v="Portland"/>
    <x v="2"/>
    <n v="0.45"/>
    <n v="2250"/>
    <x v="177"/>
    <n v="404.99999999999994"/>
    <n v="0.39999999999999997"/>
  </r>
  <r>
    <x v="0"/>
    <x v="0"/>
    <x v="131"/>
    <x v="0"/>
    <s v="Maine"/>
    <s v="Portland"/>
    <x v="3"/>
    <n v="0.45"/>
    <n v="1750"/>
    <x v="120"/>
    <n v="236.25"/>
    <n v="0.3"/>
  </r>
  <r>
    <x v="0"/>
    <x v="0"/>
    <x v="131"/>
    <x v="0"/>
    <s v="Maine"/>
    <s v="Portland"/>
    <x v="4"/>
    <n v="0.54999999999999993"/>
    <n v="1500"/>
    <x v="370"/>
    <n v="206.24999999999997"/>
    <n v="0.25"/>
  </r>
  <r>
    <x v="0"/>
    <x v="0"/>
    <x v="131"/>
    <x v="0"/>
    <s v="Maine"/>
    <s v="Portland"/>
    <x v="5"/>
    <n v="0.6"/>
    <n v="3250"/>
    <x v="212"/>
    <n v="780"/>
    <n v="0.4"/>
  </r>
  <r>
    <x v="0"/>
    <x v="0"/>
    <x v="132"/>
    <x v="0"/>
    <s v="Maine"/>
    <s v="Portland"/>
    <x v="0"/>
    <n v="0.54999999999999993"/>
    <n v="4500"/>
    <x v="357"/>
    <n v="866.24999999999977"/>
    <n v="0.35"/>
  </r>
  <r>
    <x v="0"/>
    <x v="0"/>
    <x v="132"/>
    <x v="0"/>
    <s v="Maine"/>
    <s v="Portland"/>
    <x v="1"/>
    <n v="0.5"/>
    <n v="2500"/>
    <x v="142"/>
    <n v="437.5"/>
    <n v="0.35"/>
  </r>
  <r>
    <x v="0"/>
    <x v="0"/>
    <x v="132"/>
    <x v="0"/>
    <s v="Maine"/>
    <s v="Portland"/>
    <x v="2"/>
    <n v="0.45"/>
    <n v="1500"/>
    <x v="321"/>
    <n v="270"/>
    <n v="0.39999999999999997"/>
  </r>
  <r>
    <x v="0"/>
    <x v="0"/>
    <x v="132"/>
    <x v="0"/>
    <s v="Maine"/>
    <s v="Portland"/>
    <x v="3"/>
    <n v="0.45"/>
    <n v="1250"/>
    <x v="180"/>
    <n v="168.75"/>
    <n v="0.3"/>
  </r>
  <r>
    <x v="0"/>
    <x v="0"/>
    <x v="132"/>
    <x v="0"/>
    <s v="Maine"/>
    <s v="Portland"/>
    <x v="4"/>
    <n v="0.54999999999999993"/>
    <n v="1250"/>
    <x v="179"/>
    <n v="171.87499999999997"/>
    <n v="0.25"/>
  </r>
  <r>
    <x v="0"/>
    <x v="0"/>
    <x v="132"/>
    <x v="0"/>
    <s v="Maine"/>
    <s v="Portland"/>
    <x v="5"/>
    <n v="0.6"/>
    <n v="2250"/>
    <x v="198"/>
    <n v="540"/>
    <n v="0.4"/>
  </r>
  <r>
    <x v="0"/>
    <x v="0"/>
    <x v="133"/>
    <x v="0"/>
    <s v="Maine"/>
    <s v="Portland"/>
    <x v="0"/>
    <n v="0.6"/>
    <n v="4000"/>
    <x v="50"/>
    <n v="840"/>
    <n v="0.35"/>
  </r>
  <r>
    <x v="0"/>
    <x v="0"/>
    <x v="133"/>
    <x v="0"/>
    <s v="Maine"/>
    <s v="Portland"/>
    <x v="1"/>
    <n v="0.55000000000000004"/>
    <n v="2250"/>
    <x v="116"/>
    <n v="433.125"/>
    <n v="0.35"/>
  </r>
  <r>
    <x v="0"/>
    <x v="0"/>
    <x v="133"/>
    <x v="0"/>
    <s v="Maine"/>
    <s v="Portland"/>
    <x v="2"/>
    <n v="0.55000000000000004"/>
    <n v="1250"/>
    <x v="389"/>
    <n v="275"/>
    <n v="0.39999999999999997"/>
  </r>
  <r>
    <x v="0"/>
    <x v="0"/>
    <x v="133"/>
    <x v="0"/>
    <s v="Maine"/>
    <s v="Portland"/>
    <x v="3"/>
    <n v="0.55000000000000004"/>
    <n v="1000"/>
    <x v="189"/>
    <n v="165"/>
    <n v="0.3"/>
  </r>
  <r>
    <x v="0"/>
    <x v="0"/>
    <x v="133"/>
    <x v="0"/>
    <s v="Maine"/>
    <s v="Portland"/>
    <x v="4"/>
    <n v="0.65"/>
    <n v="1000"/>
    <x v="406"/>
    <n v="162.5"/>
    <n v="0.25"/>
  </r>
  <r>
    <x v="0"/>
    <x v="0"/>
    <x v="133"/>
    <x v="0"/>
    <s v="Maine"/>
    <s v="Portland"/>
    <x v="5"/>
    <n v="0.7"/>
    <n v="2250"/>
    <x v="151"/>
    <n v="630"/>
    <n v="0.4"/>
  </r>
  <r>
    <x v="0"/>
    <x v="0"/>
    <x v="134"/>
    <x v="0"/>
    <s v="Maine"/>
    <s v="Portland"/>
    <x v="0"/>
    <n v="0.65"/>
    <n v="3750"/>
    <x v="239"/>
    <n v="853.125"/>
    <n v="0.35"/>
  </r>
  <r>
    <x v="0"/>
    <x v="0"/>
    <x v="134"/>
    <x v="0"/>
    <s v="Maine"/>
    <s v="Portland"/>
    <x v="1"/>
    <n v="0.55000000000000004"/>
    <n v="2000"/>
    <x v="130"/>
    <n v="385"/>
    <n v="0.35"/>
  </r>
  <r>
    <x v="0"/>
    <x v="0"/>
    <x v="134"/>
    <x v="0"/>
    <s v="Maine"/>
    <s v="Portland"/>
    <x v="2"/>
    <n v="0.55000000000000004"/>
    <n v="1950"/>
    <x v="407"/>
    <n v="428.99999999999994"/>
    <n v="0.39999999999999997"/>
  </r>
  <r>
    <x v="0"/>
    <x v="0"/>
    <x v="134"/>
    <x v="0"/>
    <s v="Maine"/>
    <s v="Portland"/>
    <x v="3"/>
    <n v="0.55000000000000004"/>
    <n v="1750"/>
    <x v="117"/>
    <n v="288.75"/>
    <n v="0.3"/>
  </r>
  <r>
    <x v="0"/>
    <x v="0"/>
    <x v="134"/>
    <x v="0"/>
    <s v="Maine"/>
    <s v="Portland"/>
    <x v="4"/>
    <n v="0.65"/>
    <n v="1500"/>
    <x v="145"/>
    <n v="243.75"/>
    <n v="0.25"/>
  </r>
  <r>
    <x v="0"/>
    <x v="0"/>
    <x v="134"/>
    <x v="0"/>
    <s v="Maine"/>
    <s v="Portland"/>
    <x v="5"/>
    <n v="0.7"/>
    <n v="2500"/>
    <x v="157"/>
    <n v="700"/>
    <n v="0.4"/>
  </r>
  <r>
    <x v="0"/>
    <x v="0"/>
    <x v="135"/>
    <x v="0"/>
    <s v="Maine"/>
    <s v="Portland"/>
    <x v="0"/>
    <n v="0.65"/>
    <n v="4750"/>
    <x v="197"/>
    <n v="1080.625"/>
    <n v="0.35"/>
  </r>
  <r>
    <x v="0"/>
    <x v="0"/>
    <x v="135"/>
    <x v="0"/>
    <s v="Maine"/>
    <s v="Portland"/>
    <x v="1"/>
    <n v="0.55000000000000004"/>
    <n v="2750"/>
    <x v="408"/>
    <n v="529.375"/>
    <n v="0.35"/>
  </r>
  <r>
    <x v="0"/>
    <x v="0"/>
    <x v="135"/>
    <x v="0"/>
    <s v="Maine"/>
    <s v="Portland"/>
    <x v="2"/>
    <n v="0.55000000000000004"/>
    <n v="2500"/>
    <x v="140"/>
    <n v="550"/>
    <n v="0.39999999999999997"/>
  </r>
  <r>
    <x v="0"/>
    <x v="0"/>
    <x v="135"/>
    <x v="0"/>
    <s v="Maine"/>
    <s v="Portland"/>
    <x v="3"/>
    <n v="0.55000000000000004"/>
    <n v="2000"/>
    <x v="130"/>
    <n v="330"/>
    <n v="0.3"/>
  </r>
  <r>
    <x v="0"/>
    <x v="0"/>
    <x v="135"/>
    <x v="0"/>
    <s v="Maine"/>
    <s v="Portland"/>
    <x v="4"/>
    <n v="0.65"/>
    <n v="2000"/>
    <x v="194"/>
    <n v="325"/>
    <n v="0.25"/>
  </r>
  <r>
    <x v="0"/>
    <x v="0"/>
    <x v="135"/>
    <x v="0"/>
    <s v="Maine"/>
    <s v="Portland"/>
    <x v="5"/>
    <n v="0.7"/>
    <n v="3000"/>
    <x v="193"/>
    <n v="840"/>
    <n v="0.4"/>
  </r>
  <r>
    <x v="2"/>
    <x v="2"/>
    <x v="136"/>
    <x v="2"/>
    <s v="Alaska"/>
    <s v="Anchorage"/>
    <x v="0"/>
    <n v="0.35000000000000003"/>
    <n v="3750"/>
    <x v="342"/>
    <n v="328.12500000000006"/>
    <n v="0.25"/>
  </r>
  <r>
    <x v="2"/>
    <x v="2"/>
    <x v="136"/>
    <x v="2"/>
    <s v="Alaska"/>
    <s v="Anchorage"/>
    <x v="1"/>
    <n v="0.45"/>
    <n v="3750"/>
    <x v="153"/>
    <n v="337.5"/>
    <n v="0.2"/>
  </r>
  <r>
    <x v="2"/>
    <x v="2"/>
    <x v="136"/>
    <x v="2"/>
    <s v="Alaska"/>
    <s v="Anchorage"/>
    <x v="2"/>
    <n v="0.45"/>
    <n v="3750"/>
    <x v="153"/>
    <n v="421.875"/>
    <n v="0.25"/>
  </r>
  <r>
    <x v="2"/>
    <x v="2"/>
    <x v="136"/>
    <x v="2"/>
    <s v="Alaska"/>
    <s v="Anchorage"/>
    <x v="3"/>
    <n v="0.45"/>
    <n v="2250"/>
    <x v="177"/>
    <n v="253.125"/>
    <n v="0.25"/>
  </r>
  <r>
    <x v="2"/>
    <x v="2"/>
    <x v="136"/>
    <x v="2"/>
    <s v="Alaska"/>
    <s v="Anchorage"/>
    <x v="4"/>
    <n v="0.5"/>
    <n v="1750"/>
    <x v="131"/>
    <n v="131.25"/>
    <n v="0.15"/>
  </r>
  <r>
    <x v="2"/>
    <x v="2"/>
    <x v="136"/>
    <x v="2"/>
    <s v="Alaska"/>
    <s v="Anchorage"/>
    <x v="5"/>
    <n v="0.45"/>
    <n v="4250"/>
    <x v="172"/>
    <n v="765"/>
    <n v="0.4"/>
  </r>
  <r>
    <x v="2"/>
    <x v="2"/>
    <x v="79"/>
    <x v="2"/>
    <s v="Alaska"/>
    <s v="Anchorage"/>
    <x v="0"/>
    <n v="0.35000000000000003"/>
    <n v="4750"/>
    <x v="394"/>
    <n v="415.62500000000006"/>
    <n v="0.25"/>
  </r>
  <r>
    <x v="2"/>
    <x v="2"/>
    <x v="79"/>
    <x v="2"/>
    <s v="Alaska"/>
    <s v="Anchorage"/>
    <x v="1"/>
    <n v="0.45"/>
    <n v="3750"/>
    <x v="153"/>
    <n v="337.5"/>
    <n v="0.2"/>
  </r>
  <r>
    <x v="2"/>
    <x v="2"/>
    <x v="79"/>
    <x v="2"/>
    <s v="Alaska"/>
    <s v="Anchorage"/>
    <x v="2"/>
    <n v="0.45"/>
    <n v="3750"/>
    <x v="153"/>
    <n v="421.875"/>
    <n v="0.25"/>
  </r>
  <r>
    <x v="2"/>
    <x v="2"/>
    <x v="79"/>
    <x v="2"/>
    <s v="Alaska"/>
    <s v="Anchorage"/>
    <x v="3"/>
    <n v="0.45"/>
    <n v="2250"/>
    <x v="177"/>
    <n v="253.125"/>
    <n v="0.25"/>
  </r>
  <r>
    <x v="2"/>
    <x v="2"/>
    <x v="79"/>
    <x v="2"/>
    <s v="Alaska"/>
    <s v="Anchorage"/>
    <x v="4"/>
    <n v="0.5"/>
    <n v="1500"/>
    <x v="126"/>
    <n v="112.5"/>
    <n v="0.15"/>
  </r>
  <r>
    <x v="2"/>
    <x v="2"/>
    <x v="79"/>
    <x v="2"/>
    <s v="Alaska"/>
    <s v="Anchorage"/>
    <x v="5"/>
    <n v="0.45"/>
    <n v="3500"/>
    <x v="151"/>
    <n v="630"/>
    <n v="0.4"/>
  </r>
  <r>
    <x v="2"/>
    <x v="2"/>
    <x v="137"/>
    <x v="2"/>
    <s v="Alaska"/>
    <s v="Anchorage"/>
    <x v="0"/>
    <n v="0.45"/>
    <n v="5000"/>
    <x v="39"/>
    <n v="562.5"/>
    <n v="0.25"/>
  </r>
  <r>
    <x v="2"/>
    <x v="2"/>
    <x v="137"/>
    <x v="2"/>
    <s v="Alaska"/>
    <s v="Anchorage"/>
    <x v="1"/>
    <n v="0.54999999999999993"/>
    <n v="3500"/>
    <x v="237"/>
    <n v="385"/>
    <n v="0.2"/>
  </r>
  <r>
    <x v="2"/>
    <x v="2"/>
    <x v="137"/>
    <x v="2"/>
    <s v="Alaska"/>
    <s v="Anchorage"/>
    <x v="2"/>
    <n v="0.59999999999999987"/>
    <n v="3750"/>
    <x v="381"/>
    <n v="562.49999999999989"/>
    <n v="0.25"/>
  </r>
  <r>
    <x v="2"/>
    <x v="2"/>
    <x v="137"/>
    <x v="2"/>
    <s v="Alaska"/>
    <s v="Anchorage"/>
    <x v="3"/>
    <n v="0.54999999999999993"/>
    <n v="2750"/>
    <x v="409"/>
    <n v="378.12499999999994"/>
    <n v="0.25"/>
  </r>
  <r>
    <x v="2"/>
    <x v="2"/>
    <x v="137"/>
    <x v="2"/>
    <s v="Alaska"/>
    <s v="Anchorage"/>
    <x v="4"/>
    <n v="0.6"/>
    <n v="1250"/>
    <x v="126"/>
    <n v="112.5"/>
    <n v="0.15"/>
  </r>
  <r>
    <x v="2"/>
    <x v="2"/>
    <x v="137"/>
    <x v="2"/>
    <s v="Alaska"/>
    <s v="Anchorage"/>
    <x v="5"/>
    <n v="0.54999999999999993"/>
    <n v="3250"/>
    <x v="410"/>
    <n v="715"/>
    <n v="0.4"/>
  </r>
  <r>
    <x v="2"/>
    <x v="2"/>
    <x v="138"/>
    <x v="2"/>
    <s v="Alaska"/>
    <s v="Anchorage"/>
    <x v="0"/>
    <n v="0.6"/>
    <n v="5000"/>
    <x v="61"/>
    <n v="750"/>
    <n v="0.25"/>
  </r>
  <r>
    <x v="2"/>
    <x v="2"/>
    <x v="138"/>
    <x v="2"/>
    <s v="Alaska"/>
    <s v="Anchorage"/>
    <x v="1"/>
    <n v="0.65"/>
    <n v="3000"/>
    <x v="212"/>
    <n v="390"/>
    <n v="0.2"/>
  </r>
  <r>
    <x v="2"/>
    <x v="2"/>
    <x v="138"/>
    <x v="2"/>
    <s v="Alaska"/>
    <s v="Anchorage"/>
    <x v="2"/>
    <n v="0.65"/>
    <n v="3500"/>
    <x v="154"/>
    <n v="568.75"/>
    <n v="0.25"/>
  </r>
  <r>
    <x v="2"/>
    <x v="2"/>
    <x v="138"/>
    <x v="2"/>
    <s v="Alaska"/>
    <s v="Anchorage"/>
    <x v="3"/>
    <n v="0.5"/>
    <n v="2500"/>
    <x v="142"/>
    <n v="312.5"/>
    <n v="0.25"/>
  </r>
  <r>
    <x v="2"/>
    <x v="2"/>
    <x v="138"/>
    <x v="2"/>
    <s v="Alaska"/>
    <s v="Anchorage"/>
    <x v="4"/>
    <n v="0.55000000000000004"/>
    <n v="1500"/>
    <x v="188"/>
    <n v="123.75000000000001"/>
    <n v="0.15"/>
  </r>
  <r>
    <x v="2"/>
    <x v="2"/>
    <x v="138"/>
    <x v="2"/>
    <s v="Alaska"/>
    <s v="Anchorage"/>
    <x v="5"/>
    <n v="0.70000000000000007"/>
    <n v="3250"/>
    <x v="154"/>
    <n v="910"/>
    <n v="0.4"/>
  </r>
  <r>
    <x v="2"/>
    <x v="2"/>
    <x v="139"/>
    <x v="2"/>
    <s v="Alaska"/>
    <s v="Anchorage"/>
    <x v="0"/>
    <n v="0.54999999999999993"/>
    <n v="5250"/>
    <x v="403"/>
    <n v="721.87499999999989"/>
    <n v="0.25"/>
  </r>
  <r>
    <x v="2"/>
    <x v="2"/>
    <x v="139"/>
    <x v="2"/>
    <s v="Alaska"/>
    <s v="Anchorage"/>
    <x v="1"/>
    <n v="0.6"/>
    <n v="3750"/>
    <x v="39"/>
    <n v="450"/>
    <n v="0.2"/>
  </r>
  <r>
    <x v="2"/>
    <x v="2"/>
    <x v="139"/>
    <x v="2"/>
    <s v="Alaska"/>
    <s v="Anchorage"/>
    <x v="2"/>
    <n v="0.6"/>
    <n v="3750"/>
    <x v="39"/>
    <n v="562.5"/>
    <n v="0.25"/>
  </r>
  <r>
    <x v="2"/>
    <x v="2"/>
    <x v="139"/>
    <x v="2"/>
    <s v="Alaska"/>
    <s v="Anchorage"/>
    <x v="3"/>
    <n v="0.54999999999999993"/>
    <n v="2750"/>
    <x v="409"/>
    <n v="378.12499999999994"/>
    <n v="0.25"/>
  </r>
  <r>
    <x v="2"/>
    <x v="2"/>
    <x v="139"/>
    <x v="2"/>
    <s v="Alaska"/>
    <s v="Anchorage"/>
    <x v="4"/>
    <n v="0.6"/>
    <n v="1750"/>
    <x v="202"/>
    <n v="157.5"/>
    <n v="0.15"/>
  </r>
  <r>
    <x v="2"/>
    <x v="2"/>
    <x v="139"/>
    <x v="2"/>
    <s v="Alaska"/>
    <s v="Anchorage"/>
    <x v="5"/>
    <n v="0.75"/>
    <n v="4750"/>
    <x v="214"/>
    <n v="1425"/>
    <n v="0.4"/>
  </r>
  <r>
    <x v="2"/>
    <x v="2"/>
    <x v="83"/>
    <x v="2"/>
    <s v="Alaska"/>
    <s v="Anchorage"/>
    <x v="0"/>
    <n v="0.7"/>
    <n v="7250"/>
    <x v="411"/>
    <n v="1268.75"/>
    <n v="0.25"/>
  </r>
  <r>
    <x v="2"/>
    <x v="2"/>
    <x v="83"/>
    <x v="2"/>
    <s v="Alaska"/>
    <s v="Anchorage"/>
    <x v="1"/>
    <n v="0.75"/>
    <n v="6000"/>
    <x v="6"/>
    <n v="900"/>
    <n v="0.2"/>
  </r>
  <r>
    <x v="2"/>
    <x v="2"/>
    <x v="83"/>
    <x v="2"/>
    <s v="Alaska"/>
    <s v="Anchorage"/>
    <x v="2"/>
    <n v="0.75"/>
    <n v="6000"/>
    <x v="6"/>
    <n v="1125"/>
    <n v="0.25"/>
  </r>
  <r>
    <x v="2"/>
    <x v="2"/>
    <x v="83"/>
    <x v="2"/>
    <s v="Alaska"/>
    <s v="Anchorage"/>
    <x v="3"/>
    <n v="0.75"/>
    <n v="4750"/>
    <x v="214"/>
    <n v="890.625"/>
    <n v="0.25"/>
  </r>
  <r>
    <x v="2"/>
    <x v="2"/>
    <x v="83"/>
    <x v="2"/>
    <s v="Alaska"/>
    <s v="Anchorage"/>
    <x v="4"/>
    <n v="0.85000000000000009"/>
    <n v="3500"/>
    <x v="253"/>
    <n v="446.25000000000006"/>
    <n v="0.15"/>
  </r>
  <r>
    <x v="2"/>
    <x v="2"/>
    <x v="83"/>
    <x v="2"/>
    <s v="Alaska"/>
    <s v="Anchorage"/>
    <x v="5"/>
    <n v="1"/>
    <n v="6500"/>
    <x v="19"/>
    <n v="2600"/>
    <n v="0.4"/>
  </r>
  <r>
    <x v="2"/>
    <x v="2"/>
    <x v="140"/>
    <x v="2"/>
    <s v="Alaska"/>
    <s v="Anchorage"/>
    <x v="0"/>
    <n v="0.8"/>
    <n v="8000"/>
    <x v="412"/>
    <n v="1600"/>
    <n v="0.25"/>
  </r>
  <r>
    <x v="2"/>
    <x v="2"/>
    <x v="140"/>
    <x v="2"/>
    <s v="Alaska"/>
    <s v="Anchorage"/>
    <x v="1"/>
    <n v="0.85000000000000009"/>
    <n v="6500"/>
    <x v="413"/>
    <n v="1105.0000000000002"/>
    <n v="0.2"/>
  </r>
  <r>
    <x v="2"/>
    <x v="2"/>
    <x v="140"/>
    <x v="2"/>
    <s v="Alaska"/>
    <s v="Anchorage"/>
    <x v="2"/>
    <n v="0.85000000000000009"/>
    <n v="6000"/>
    <x v="414"/>
    <n v="1275.0000000000002"/>
    <n v="0.25"/>
  </r>
  <r>
    <x v="2"/>
    <x v="2"/>
    <x v="140"/>
    <x v="2"/>
    <s v="Alaska"/>
    <s v="Anchorage"/>
    <x v="3"/>
    <n v="0.8"/>
    <n v="5000"/>
    <x v="2"/>
    <n v="1000"/>
    <n v="0.25"/>
  </r>
  <r>
    <x v="2"/>
    <x v="2"/>
    <x v="140"/>
    <x v="2"/>
    <s v="Alaska"/>
    <s v="Anchorage"/>
    <x v="4"/>
    <n v="0.85000000000000009"/>
    <n v="5500"/>
    <x v="415"/>
    <n v="701.25000000000011"/>
    <n v="0.15"/>
  </r>
  <r>
    <x v="2"/>
    <x v="2"/>
    <x v="140"/>
    <x v="2"/>
    <s v="Alaska"/>
    <s v="Anchorage"/>
    <x v="5"/>
    <n v="1"/>
    <n v="5500"/>
    <x v="21"/>
    <n v="2200"/>
    <n v="0.4"/>
  </r>
  <r>
    <x v="2"/>
    <x v="2"/>
    <x v="141"/>
    <x v="2"/>
    <s v="Alaska"/>
    <s v="Anchorage"/>
    <x v="0"/>
    <n v="0.85000000000000009"/>
    <n v="7500"/>
    <x v="416"/>
    <n v="1593.7500000000002"/>
    <n v="0.25"/>
  </r>
  <r>
    <x v="2"/>
    <x v="2"/>
    <x v="141"/>
    <x v="2"/>
    <s v="Alaska"/>
    <s v="Anchorage"/>
    <x v="1"/>
    <n v="0.75000000000000011"/>
    <n v="7250"/>
    <x v="417"/>
    <n v="1087.5000000000002"/>
    <n v="0.2"/>
  </r>
  <r>
    <x v="2"/>
    <x v="2"/>
    <x v="141"/>
    <x v="2"/>
    <s v="Alaska"/>
    <s v="Anchorage"/>
    <x v="2"/>
    <n v="0.70000000000000007"/>
    <n v="6000"/>
    <x v="81"/>
    <n v="1050"/>
    <n v="0.25"/>
  </r>
  <r>
    <x v="2"/>
    <x v="2"/>
    <x v="141"/>
    <x v="2"/>
    <s v="Alaska"/>
    <s v="Anchorage"/>
    <x v="3"/>
    <n v="0.70000000000000007"/>
    <n v="5250"/>
    <x v="244"/>
    <n v="918.75000000000011"/>
    <n v="0.25"/>
  </r>
  <r>
    <x v="2"/>
    <x v="2"/>
    <x v="141"/>
    <x v="2"/>
    <s v="Alaska"/>
    <s v="Anchorage"/>
    <x v="4"/>
    <n v="0.7"/>
    <n v="5250"/>
    <x v="418"/>
    <n v="551.24999999999989"/>
    <n v="0.15"/>
  </r>
  <r>
    <x v="2"/>
    <x v="2"/>
    <x v="141"/>
    <x v="2"/>
    <s v="Alaska"/>
    <s v="Anchorage"/>
    <x v="5"/>
    <n v="0.75"/>
    <n v="3500"/>
    <x v="48"/>
    <n v="1050"/>
    <n v="0.4"/>
  </r>
  <r>
    <x v="2"/>
    <x v="2"/>
    <x v="142"/>
    <x v="2"/>
    <s v="Alaska"/>
    <s v="Anchorage"/>
    <x v="0"/>
    <n v="0.65000000000000013"/>
    <n v="5500"/>
    <x v="222"/>
    <n v="893.75000000000023"/>
    <n v="0.25"/>
  </r>
  <r>
    <x v="2"/>
    <x v="2"/>
    <x v="142"/>
    <x v="2"/>
    <s v="Alaska"/>
    <s v="Anchorage"/>
    <x v="1"/>
    <n v="0.70000000000000018"/>
    <n v="5500"/>
    <x v="419"/>
    <n v="770.00000000000023"/>
    <n v="0.2"/>
  </r>
  <r>
    <x v="2"/>
    <x v="2"/>
    <x v="142"/>
    <x v="2"/>
    <s v="Alaska"/>
    <s v="Anchorage"/>
    <x v="2"/>
    <n v="0.65000000000000013"/>
    <n v="3750"/>
    <x v="420"/>
    <n v="609.37500000000011"/>
    <n v="0.25"/>
  </r>
  <r>
    <x v="2"/>
    <x v="2"/>
    <x v="142"/>
    <x v="2"/>
    <s v="Alaska"/>
    <s v="Anchorage"/>
    <x v="3"/>
    <n v="0.65000000000000013"/>
    <n v="3250"/>
    <x v="421"/>
    <n v="528.12500000000011"/>
    <n v="0.25"/>
  </r>
  <r>
    <x v="2"/>
    <x v="2"/>
    <x v="142"/>
    <x v="2"/>
    <s v="Alaska"/>
    <s v="Anchorage"/>
    <x v="4"/>
    <n v="0.75000000000000011"/>
    <n v="3500"/>
    <x v="195"/>
    <n v="393.75000000000006"/>
    <n v="0.15"/>
  </r>
  <r>
    <x v="2"/>
    <x v="2"/>
    <x v="142"/>
    <x v="2"/>
    <s v="Alaska"/>
    <s v="Anchorage"/>
    <x v="5"/>
    <n v="0.6"/>
    <n v="3750"/>
    <x v="39"/>
    <n v="900"/>
    <n v="0.4"/>
  </r>
  <r>
    <x v="2"/>
    <x v="2"/>
    <x v="87"/>
    <x v="2"/>
    <s v="Alaska"/>
    <s v="Anchorage"/>
    <x v="0"/>
    <n v="0.55000000000000004"/>
    <n v="4750"/>
    <x v="356"/>
    <n v="653.125"/>
    <n v="0.25"/>
  </r>
  <r>
    <x v="2"/>
    <x v="2"/>
    <x v="87"/>
    <x v="2"/>
    <s v="Alaska"/>
    <s v="Anchorage"/>
    <x v="1"/>
    <n v="0.65000000000000013"/>
    <n v="4750"/>
    <x v="422"/>
    <n v="617.50000000000011"/>
    <n v="0.2"/>
  </r>
  <r>
    <x v="2"/>
    <x v="2"/>
    <x v="87"/>
    <x v="2"/>
    <s v="Alaska"/>
    <s v="Anchorage"/>
    <x v="2"/>
    <n v="0.60000000000000009"/>
    <n v="3000"/>
    <x v="166"/>
    <n v="450.00000000000006"/>
    <n v="0.25"/>
  </r>
  <r>
    <x v="2"/>
    <x v="2"/>
    <x v="87"/>
    <x v="2"/>
    <s v="Alaska"/>
    <s v="Anchorage"/>
    <x v="3"/>
    <n v="0.55000000000000004"/>
    <n v="2750"/>
    <x v="408"/>
    <n v="378.12500000000006"/>
    <n v="0.25"/>
  </r>
  <r>
    <x v="2"/>
    <x v="2"/>
    <x v="87"/>
    <x v="2"/>
    <s v="Alaska"/>
    <s v="Anchorage"/>
    <x v="4"/>
    <n v="0.65"/>
    <n v="2500"/>
    <x v="132"/>
    <n v="243.75"/>
    <n v="0.15"/>
  </r>
  <r>
    <x v="2"/>
    <x v="2"/>
    <x v="87"/>
    <x v="2"/>
    <s v="Alaska"/>
    <s v="Anchorage"/>
    <x v="5"/>
    <n v="0.70000000000000007"/>
    <n v="3000"/>
    <x v="193"/>
    <n v="840"/>
    <n v="0.4"/>
  </r>
  <r>
    <x v="2"/>
    <x v="2"/>
    <x v="143"/>
    <x v="2"/>
    <s v="Alaska"/>
    <s v="Anchorage"/>
    <x v="0"/>
    <n v="0.55000000000000004"/>
    <n v="5250"/>
    <x v="170"/>
    <n v="721.87500000000011"/>
    <n v="0.25"/>
  </r>
  <r>
    <x v="2"/>
    <x v="2"/>
    <x v="143"/>
    <x v="2"/>
    <s v="Alaska"/>
    <s v="Anchorage"/>
    <x v="1"/>
    <n v="0.60000000000000009"/>
    <n v="6000"/>
    <x v="215"/>
    <n v="720.00000000000011"/>
    <n v="0.2"/>
  </r>
  <r>
    <x v="2"/>
    <x v="2"/>
    <x v="143"/>
    <x v="2"/>
    <s v="Alaska"/>
    <s v="Anchorage"/>
    <x v="2"/>
    <n v="0.55000000000000004"/>
    <n v="4250"/>
    <x v="256"/>
    <n v="584.375"/>
    <n v="0.25"/>
  </r>
  <r>
    <x v="2"/>
    <x v="2"/>
    <x v="143"/>
    <x v="2"/>
    <s v="Alaska"/>
    <s v="Anchorage"/>
    <x v="3"/>
    <n v="0.65000000000000013"/>
    <n v="4000"/>
    <x v="251"/>
    <n v="650.00000000000011"/>
    <n v="0.25"/>
  </r>
  <r>
    <x v="2"/>
    <x v="2"/>
    <x v="143"/>
    <x v="2"/>
    <s v="Alaska"/>
    <s v="Anchorage"/>
    <x v="4"/>
    <n v="0.85000000000000009"/>
    <n v="3750"/>
    <x v="260"/>
    <n v="478.12500000000006"/>
    <n v="0.15"/>
  </r>
  <r>
    <x v="2"/>
    <x v="2"/>
    <x v="143"/>
    <x v="2"/>
    <s v="Alaska"/>
    <s v="Anchorage"/>
    <x v="5"/>
    <n v="0.90000000000000013"/>
    <n v="5000"/>
    <x v="276"/>
    <n v="1800.0000000000005"/>
    <n v="0.4"/>
  </r>
  <r>
    <x v="2"/>
    <x v="2"/>
    <x v="144"/>
    <x v="2"/>
    <s v="Alaska"/>
    <s v="Anchorage"/>
    <x v="0"/>
    <n v="0.75000000000000011"/>
    <n v="7000"/>
    <x v="103"/>
    <n v="1312.5000000000002"/>
    <n v="0.25"/>
  </r>
  <r>
    <x v="2"/>
    <x v="2"/>
    <x v="144"/>
    <x v="2"/>
    <s v="Alaska"/>
    <s v="Anchorage"/>
    <x v="1"/>
    <n v="0.8500000000000002"/>
    <n v="7000"/>
    <x v="423"/>
    <n v="1190.0000000000005"/>
    <n v="0.2"/>
  </r>
  <r>
    <x v="2"/>
    <x v="2"/>
    <x v="144"/>
    <x v="2"/>
    <s v="Alaska"/>
    <s v="Anchorage"/>
    <x v="2"/>
    <n v="0.80000000000000016"/>
    <n v="5000"/>
    <x v="257"/>
    <n v="1000.0000000000002"/>
    <n v="0.25"/>
  </r>
  <r>
    <x v="2"/>
    <x v="2"/>
    <x v="144"/>
    <x v="2"/>
    <s v="Alaska"/>
    <s v="Anchorage"/>
    <x v="3"/>
    <n v="0.80000000000000016"/>
    <n v="5000"/>
    <x v="257"/>
    <n v="1000.0000000000002"/>
    <n v="0.25"/>
  </r>
  <r>
    <x v="2"/>
    <x v="2"/>
    <x v="144"/>
    <x v="2"/>
    <s v="Alaska"/>
    <s v="Anchorage"/>
    <x v="4"/>
    <n v="0.90000000000000013"/>
    <n v="4250"/>
    <x v="281"/>
    <n v="573.75"/>
    <n v="0.15"/>
  </r>
  <r>
    <x v="2"/>
    <x v="2"/>
    <x v="144"/>
    <x v="2"/>
    <s v="Alaska"/>
    <s v="Anchorage"/>
    <x v="5"/>
    <n v="0.95000000000000018"/>
    <n v="5250"/>
    <x v="424"/>
    <n v="1995.0000000000005"/>
    <n v="0.4"/>
  </r>
  <r>
    <x v="2"/>
    <x v="2"/>
    <x v="102"/>
    <x v="2"/>
    <s v="Hawaii"/>
    <s v="Honolulu"/>
    <x v="0"/>
    <n v="0.4"/>
    <n v="4250"/>
    <x v="234"/>
    <n v="510"/>
    <n v="0.3"/>
  </r>
  <r>
    <x v="2"/>
    <x v="2"/>
    <x v="102"/>
    <x v="2"/>
    <s v="Hawaii"/>
    <s v="Honolulu"/>
    <x v="1"/>
    <n v="0.5"/>
    <n v="4250"/>
    <x v="43"/>
    <n v="531.25"/>
    <n v="0.25"/>
  </r>
  <r>
    <x v="2"/>
    <x v="2"/>
    <x v="102"/>
    <x v="2"/>
    <s v="Hawaii"/>
    <s v="Honolulu"/>
    <x v="2"/>
    <n v="0.5"/>
    <n v="4250"/>
    <x v="43"/>
    <n v="637.5"/>
    <n v="0.3"/>
  </r>
  <r>
    <x v="2"/>
    <x v="2"/>
    <x v="102"/>
    <x v="2"/>
    <s v="Hawaii"/>
    <s v="Honolulu"/>
    <x v="3"/>
    <n v="0.5"/>
    <n v="2750"/>
    <x v="140"/>
    <n v="412.5"/>
    <n v="0.3"/>
  </r>
  <r>
    <x v="2"/>
    <x v="2"/>
    <x v="102"/>
    <x v="2"/>
    <s v="Hawaii"/>
    <s v="Honolulu"/>
    <x v="4"/>
    <n v="0.55000000000000004"/>
    <n v="2250"/>
    <x v="116"/>
    <n v="247.5"/>
    <n v="0.2"/>
  </r>
  <r>
    <x v="2"/>
    <x v="2"/>
    <x v="102"/>
    <x v="2"/>
    <s v="Hawaii"/>
    <s v="Honolulu"/>
    <x v="5"/>
    <n v="0.5"/>
    <n v="4750"/>
    <x v="351"/>
    <n v="1068.75"/>
    <n v="0.45"/>
  </r>
  <r>
    <x v="2"/>
    <x v="2"/>
    <x v="103"/>
    <x v="2"/>
    <s v="Hawaii"/>
    <s v="Honolulu"/>
    <x v="0"/>
    <n v="0.4"/>
    <n v="5250"/>
    <x v="193"/>
    <n v="630"/>
    <n v="0.3"/>
  </r>
  <r>
    <x v="2"/>
    <x v="2"/>
    <x v="103"/>
    <x v="2"/>
    <s v="Hawaii"/>
    <s v="Honolulu"/>
    <x v="1"/>
    <n v="0.5"/>
    <n v="4250"/>
    <x v="43"/>
    <n v="531.25"/>
    <n v="0.25"/>
  </r>
  <r>
    <x v="2"/>
    <x v="2"/>
    <x v="103"/>
    <x v="2"/>
    <s v="Hawaii"/>
    <s v="Honolulu"/>
    <x v="2"/>
    <n v="0.5"/>
    <n v="4250"/>
    <x v="43"/>
    <n v="637.5"/>
    <n v="0.3"/>
  </r>
  <r>
    <x v="2"/>
    <x v="2"/>
    <x v="103"/>
    <x v="2"/>
    <s v="Hawaii"/>
    <s v="Honolulu"/>
    <x v="3"/>
    <n v="0.5"/>
    <n v="2750"/>
    <x v="140"/>
    <n v="412.5"/>
    <n v="0.3"/>
  </r>
  <r>
    <x v="2"/>
    <x v="2"/>
    <x v="103"/>
    <x v="2"/>
    <s v="Hawaii"/>
    <s v="Honolulu"/>
    <x v="4"/>
    <n v="0.55000000000000004"/>
    <n v="2000"/>
    <x v="130"/>
    <n v="220"/>
    <n v="0.2"/>
  </r>
  <r>
    <x v="2"/>
    <x v="2"/>
    <x v="103"/>
    <x v="2"/>
    <s v="Hawaii"/>
    <s v="Honolulu"/>
    <x v="5"/>
    <n v="0.5"/>
    <n v="4000"/>
    <x v="47"/>
    <n v="900"/>
    <n v="0.45"/>
  </r>
  <r>
    <x v="2"/>
    <x v="2"/>
    <x v="104"/>
    <x v="2"/>
    <s v="Hawaii"/>
    <s v="Honolulu"/>
    <x v="0"/>
    <n v="0.5"/>
    <n v="5500"/>
    <x v="80"/>
    <n v="825"/>
    <n v="0.3"/>
  </r>
  <r>
    <x v="2"/>
    <x v="2"/>
    <x v="104"/>
    <x v="2"/>
    <s v="Hawaii"/>
    <s v="Honolulu"/>
    <x v="1"/>
    <n v="0.6"/>
    <n v="4000"/>
    <x v="50"/>
    <n v="600"/>
    <n v="0.25"/>
  </r>
  <r>
    <x v="2"/>
    <x v="2"/>
    <x v="104"/>
    <x v="2"/>
    <s v="Hawaii"/>
    <s v="Honolulu"/>
    <x v="2"/>
    <n v="0.64999999999999991"/>
    <n v="4250"/>
    <x v="261"/>
    <n v="828.74999999999989"/>
    <n v="0.3"/>
  </r>
  <r>
    <x v="2"/>
    <x v="2"/>
    <x v="104"/>
    <x v="2"/>
    <s v="Hawaii"/>
    <s v="Honolulu"/>
    <x v="3"/>
    <n v="0.6"/>
    <n v="3250"/>
    <x v="212"/>
    <n v="585"/>
    <n v="0.3"/>
  </r>
  <r>
    <x v="2"/>
    <x v="2"/>
    <x v="104"/>
    <x v="2"/>
    <s v="Hawaii"/>
    <s v="Honolulu"/>
    <x v="4"/>
    <n v="0.65"/>
    <n v="1750"/>
    <x v="165"/>
    <n v="227.5"/>
    <n v="0.2"/>
  </r>
  <r>
    <x v="2"/>
    <x v="2"/>
    <x v="104"/>
    <x v="2"/>
    <s v="Hawaii"/>
    <s v="Honolulu"/>
    <x v="5"/>
    <n v="0.6"/>
    <n v="3750"/>
    <x v="39"/>
    <n v="1012.5"/>
    <n v="0.45"/>
  </r>
  <r>
    <x v="2"/>
    <x v="2"/>
    <x v="105"/>
    <x v="2"/>
    <s v="Hawaii"/>
    <s v="Honolulu"/>
    <x v="0"/>
    <n v="0.65"/>
    <n v="5500"/>
    <x v="88"/>
    <n v="1072.5"/>
    <n v="0.3"/>
  </r>
  <r>
    <x v="2"/>
    <x v="2"/>
    <x v="105"/>
    <x v="2"/>
    <s v="Hawaii"/>
    <s v="Honolulu"/>
    <x v="1"/>
    <n v="0.70000000000000007"/>
    <n v="3500"/>
    <x v="196"/>
    <n v="612.50000000000011"/>
    <n v="0.25"/>
  </r>
  <r>
    <x v="2"/>
    <x v="2"/>
    <x v="105"/>
    <x v="2"/>
    <s v="Hawaii"/>
    <s v="Honolulu"/>
    <x v="2"/>
    <n v="0.70000000000000007"/>
    <n v="4000"/>
    <x v="219"/>
    <n v="840.00000000000011"/>
    <n v="0.3"/>
  </r>
  <r>
    <x v="2"/>
    <x v="2"/>
    <x v="105"/>
    <x v="2"/>
    <s v="Hawaii"/>
    <s v="Honolulu"/>
    <x v="3"/>
    <n v="0.55000000000000004"/>
    <n v="3000"/>
    <x v="205"/>
    <n v="495.00000000000006"/>
    <n v="0.3"/>
  </r>
  <r>
    <x v="2"/>
    <x v="2"/>
    <x v="105"/>
    <x v="2"/>
    <s v="Hawaii"/>
    <s v="Honolulu"/>
    <x v="4"/>
    <n v="0.60000000000000009"/>
    <n v="2000"/>
    <x v="200"/>
    <n v="240.00000000000006"/>
    <n v="0.2"/>
  </r>
  <r>
    <x v="2"/>
    <x v="2"/>
    <x v="105"/>
    <x v="2"/>
    <s v="Hawaii"/>
    <s v="Honolulu"/>
    <x v="5"/>
    <n v="0.75000000000000011"/>
    <n v="3750"/>
    <x v="224"/>
    <n v="1265.6250000000002"/>
    <n v="0.45"/>
  </r>
  <r>
    <x v="2"/>
    <x v="2"/>
    <x v="106"/>
    <x v="2"/>
    <s v="Hawaii"/>
    <s v="Honolulu"/>
    <x v="0"/>
    <n v="0.6"/>
    <n v="5750"/>
    <x v="425"/>
    <n v="1035"/>
    <n v="0.3"/>
  </r>
  <r>
    <x v="2"/>
    <x v="2"/>
    <x v="106"/>
    <x v="2"/>
    <s v="Hawaii"/>
    <s v="Honolulu"/>
    <x v="1"/>
    <n v="0.65"/>
    <n v="4250"/>
    <x v="426"/>
    <n v="690.625"/>
    <n v="0.25"/>
  </r>
  <r>
    <x v="2"/>
    <x v="2"/>
    <x v="106"/>
    <x v="2"/>
    <s v="Hawaii"/>
    <s v="Honolulu"/>
    <x v="2"/>
    <n v="0.65"/>
    <n v="4250"/>
    <x v="426"/>
    <n v="828.75"/>
    <n v="0.3"/>
  </r>
  <r>
    <x v="2"/>
    <x v="2"/>
    <x v="106"/>
    <x v="2"/>
    <s v="Hawaii"/>
    <s v="Honolulu"/>
    <x v="3"/>
    <n v="0.6"/>
    <n v="3250"/>
    <x v="212"/>
    <n v="585"/>
    <n v="0.3"/>
  </r>
  <r>
    <x v="2"/>
    <x v="2"/>
    <x v="106"/>
    <x v="2"/>
    <s v="Hawaii"/>
    <s v="Honolulu"/>
    <x v="4"/>
    <n v="0.54999999999999993"/>
    <n v="2250"/>
    <x v="427"/>
    <n v="247.49999999999997"/>
    <n v="0.2"/>
  </r>
  <r>
    <x v="2"/>
    <x v="2"/>
    <x v="106"/>
    <x v="2"/>
    <s v="Hawaii"/>
    <s v="Honolulu"/>
    <x v="5"/>
    <n v="0.7"/>
    <n v="5750"/>
    <x v="428"/>
    <n v="1811.2499999999998"/>
    <n v="0.45"/>
  </r>
  <r>
    <x v="2"/>
    <x v="2"/>
    <x v="107"/>
    <x v="2"/>
    <s v="Hawaii"/>
    <s v="Honolulu"/>
    <x v="0"/>
    <n v="0.64999999999999991"/>
    <n v="8250"/>
    <x v="429"/>
    <n v="1608.7499999999998"/>
    <n v="0.3"/>
  </r>
  <r>
    <x v="2"/>
    <x v="2"/>
    <x v="107"/>
    <x v="2"/>
    <s v="Hawaii"/>
    <s v="Honolulu"/>
    <x v="1"/>
    <n v="0.7"/>
    <n v="7000"/>
    <x v="430"/>
    <n v="1225"/>
    <n v="0.25"/>
  </r>
  <r>
    <x v="2"/>
    <x v="2"/>
    <x v="107"/>
    <x v="2"/>
    <s v="Hawaii"/>
    <s v="Honolulu"/>
    <x v="2"/>
    <n v="0.85"/>
    <n v="7000"/>
    <x v="307"/>
    <n v="1785"/>
    <n v="0.3"/>
  </r>
  <r>
    <x v="2"/>
    <x v="2"/>
    <x v="107"/>
    <x v="2"/>
    <s v="Hawaii"/>
    <s v="Honolulu"/>
    <x v="3"/>
    <n v="0.85"/>
    <n v="5750"/>
    <x v="431"/>
    <n v="1466.25"/>
    <n v="0.3"/>
  </r>
  <r>
    <x v="2"/>
    <x v="2"/>
    <x v="107"/>
    <x v="2"/>
    <s v="Hawaii"/>
    <s v="Honolulu"/>
    <x v="4"/>
    <n v="0.95000000000000007"/>
    <n v="4500"/>
    <x v="60"/>
    <n v="855"/>
    <n v="0.2"/>
  </r>
  <r>
    <x v="2"/>
    <x v="2"/>
    <x v="107"/>
    <x v="2"/>
    <s v="Hawaii"/>
    <s v="Honolulu"/>
    <x v="5"/>
    <n v="1.1000000000000001"/>
    <n v="7500"/>
    <x v="432"/>
    <n v="3712.5"/>
    <n v="0.45"/>
  </r>
  <r>
    <x v="2"/>
    <x v="2"/>
    <x v="108"/>
    <x v="2"/>
    <s v="Hawaii"/>
    <s v="Honolulu"/>
    <x v="0"/>
    <n v="0.9"/>
    <n v="9000"/>
    <x v="433"/>
    <n v="2430"/>
    <n v="0.3"/>
  </r>
  <r>
    <x v="2"/>
    <x v="2"/>
    <x v="108"/>
    <x v="2"/>
    <s v="Hawaii"/>
    <s v="Honolulu"/>
    <x v="1"/>
    <n v="0.95000000000000007"/>
    <n v="7500"/>
    <x v="434"/>
    <n v="1781.2500000000002"/>
    <n v="0.25"/>
  </r>
  <r>
    <x v="2"/>
    <x v="2"/>
    <x v="108"/>
    <x v="2"/>
    <s v="Hawaii"/>
    <s v="Honolulu"/>
    <x v="2"/>
    <n v="0.95000000000000007"/>
    <n v="7000"/>
    <x v="435"/>
    <n v="1995.0000000000002"/>
    <n v="0.3"/>
  </r>
  <r>
    <x v="2"/>
    <x v="2"/>
    <x v="108"/>
    <x v="2"/>
    <s v="Hawaii"/>
    <s v="Honolulu"/>
    <x v="3"/>
    <n v="0.9"/>
    <n v="6000"/>
    <x v="4"/>
    <n v="1620"/>
    <n v="0.3"/>
  </r>
  <r>
    <x v="2"/>
    <x v="2"/>
    <x v="108"/>
    <x v="2"/>
    <s v="Hawaii"/>
    <s v="Honolulu"/>
    <x v="4"/>
    <n v="0.95000000000000007"/>
    <n v="6500"/>
    <x v="436"/>
    <n v="1235"/>
    <n v="0.2"/>
  </r>
  <r>
    <x v="2"/>
    <x v="2"/>
    <x v="108"/>
    <x v="2"/>
    <s v="Hawaii"/>
    <s v="Honolulu"/>
    <x v="5"/>
    <n v="1.1000000000000001"/>
    <n v="6500"/>
    <x v="437"/>
    <n v="3217.5000000000005"/>
    <n v="0.45"/>
  </r>
  <r>
    <x v="2"/>
    <x v="2"/>
    <x v="109"/>
    <x v="2"/>
    <s v="Hawaii"/>
    <s v="Honolulu"/>
    <x v="0"/>
    <n v="0.95000000000000007"/>
    <n v="8500"/>
    <x v="438"/>
    <n v="2422.5"/>
    <n v="0.3"/>
  </r>
  <r>
    <x v="2"/>
    <x v="2"/>
    <x v="109"/>
    <x v="2"/>
    <s v="Hawaii"/>
    <s v="Honolulu"/>
    <x v="1"/>
    <n v="0.85000000000000009"/>
    <n v="8250"/>
    <x v="439"/>
    <n v="1753.1250000000002"/>
    <n v="0.25"/>
  </r>
  <r>
    <x v="2"/>
    <x v="2"/>
    <x v="109"/>
    <x v="2"/>
    <s v="Hawaii"/>
    <s v="Honolulu"/>
    <x v="2"/>
    <n v="0.8"/>
    <n v="7000"/>
    <x v="86"/>
    <n v="1680"/>
    <n v="0.3"/>
  </r>
  <r>
    <x v="2"/>
    <x v="2"/>
    <x v="109"/>
    <x v="2"/>
    <s v="Hawaii"/>
    <s v="Honolulu"/>
    <x v="3"/>
    <n v="0.8"/>
    <n v="4750"/>
    <x v="7"/>
    <n v="1140"/>
    <n v="0.3"/>
  </r>
  <r>
    <x v="2"/>
    <x v="2"/>
    <x v="109"/>
    <x v="2"/>
    <s v="Hawaii"/>
    <s v="Honolulu"/>
    <x v="4"/>
    <n v="0.79999999999999993"/>
    <n v="4750"/>
    <x v="440"/>
    <n v="760"/>
    <n v="0.2"/>
  </r>
  <r>
    <x v="2"/>
    <x v="2"/>
    <x v="109"/>
    <x v="2"/>
    <s v="Hawaii"/>
    <s v="Honolulu"/>
    <x v="5"/>
    <n v="0.85"/>
    <n v="3000"/>
    <x v="141"/>
    <n v="1147.5"/>
    <n v="0.45"/>
  </r>
  <r>
    <x v="2"/>
    <x v="2"/>
    <x v="110"/>
    <x v="2"/>
    <s v="Hawaii"/>
    <s v="Honolulu"/>
    <x v="0"/>
    <n v="0.60000000000000009"/>
    <n v="5000"/>
    <x v="252"/>
    <n v="900.00000000000011"/>
    <n v="0.3"/>
  </r>
  <r>
    <x v="2"/>
    <x v="2"/>
    <x v="110"/>
    <x v="2"/>
    <s v="Hawaii"/>
    <s v="Honolulu"/>
    <x v="1"/>
    <n v="0.65000000000000013"/>
    <n v="5000"/>
    <x v="259"/>
    <n v="812.50000000000011"/>
    <n v="0.25"/>
  </r>
  <r>
    <x v="2"/>
    <x v="2"/>
    <x v="110"/>
    <x v="2"/>
    <s v="Hawaii"/>
    <s v="Honolulu"/>
    <x v="2"/>
    <n v="0.60000000000000009"/>
    <n v="3000"/>
    <x v="166"/>
    <n v="540"/>
    <n v="0.3"/>
  </r>
  <r>
    <x v="2"/>
    <x v="2"/>
    <x v="110"/>
    <x v="2"/>
    <s v="Hawaii"/>
    <s v="Honolulu"/>
    <x v="3"/>
    <n v="0.60000000000000009"/>
    <n v="2500"/>
    <x v="192"/>
    <n v="450.00000000000006"/>
    <n v="0.3"/>
  </r>
  <r>
    <x v="2"/>
    <x v="2"/>
    <x v="110"/>
    <x v="2"/>
    <s v="Hawaii"/>
    <s v="Honolulu"/>
    <x v="4"/>
    <n v="0.70000000000000007"/>
    <n v="2750"/>
    <x v="136"/>
    <n v="385.00000000000006"/>
    <n v="0.2"/>
  </r>
  <r>
    <x v="2"/>
    <x v="2"/>
    <x v="110"/>
    <x v="2"/>
    <s v="Hawaii"/>
    <s v="Honolulu"/>
    <x v="5"/>
    <n v="0.54999999999999993"/>
    <n v="3000"/>
    <x v="209"/>
    <n v="742.49999999999989"/>
    <n v="0.45"/>
  </r>
  <r>
    <x v="2"/>
    <x v="2"/>
    <x v="111"/>
    <x v="2"/>
    <s v="Hawaii"/>
    <s v="Honolulu"/>
    <x v="0"/>
    <n v="0.5"/>
    <n v="4000"/>
    <x v="47"/>
    <n v="600"/>
    <n v="0.3"/>
  </r>
  <r>
    <x v="2"/>
    <x v="2"/>
    <x v="111"/>
    <x v="2"/>
    <s v="Hawaii"/>
    <s v="Honolulu"/>
    <x v="1"/>
    <n v="0.65000000000000013"/>
    <n v="5750"/>
    <x v="226"/>
    <n v="934.37500000000023"/>
    <n v="0.25"/>
  </r>
  <r>
    <x v="2"/>
    <x v="2"/>
    <x v="111"/>
    <x v="2"/>
    <s v="Hawaii"/>
    <s v="Honolulu"/>
    <x v="2"/>
    <n v="0.60000000000000009"/>
    <n v="4000"/>
    <x v="218"/>
    <n v="720.00000000000011"/>
    <n v="0.3"/>
  </r>
  <r>
    <x v="2"/>
    <x v="2"/>
    <x v="111"/>
    <x v="2"/>
    <s v="Hawaii"/>
    <s v="Honolulu"/>
    <x v="3"/>
    <n v="0.55000000000000004"/>
    <n v="3750"/>
    <x v="138"/>
    <n v="618.75"/>
    <n v="0.3"/>
  </r>
  <r>
    <x v="2"/>
    <x v="2"/>
    <x v="111"/>
    <x v="2"/>
    <s v="Hawaii"/>
    <s v="Honolulu"/>
    <x v="4"/>
    <n v="0.65"/>
    <n v="3500"/>
    <x v="154"/>
    <n v="455"/>
    <n v="0.2"/>
  </r>
  <r>
    <x v="2"/>
    <x v="2"/>
    <x v="111"/>
    <x v="2"/>
    <s v="Hawaii"/>
    <s v="Honolulu"/>
    <x v="5"/>
    <n v="0.70000000000000007"/>
    <n v="4000"/>
    <x v="219"/>
    <n v="1260.0000000000002"/>
    <n v="0.45"/>
  </r>
  <r>
    <x v="2"/>
    <x v="2"/>
    <x v="112"/>
    <x v="2"/>
    <s v="Hawaii"/>
    <s v="Honolulu"/>
    <x v="0"/>
    <n v="0.55000000000000004"/>
    <n v="6250"/>
    <x v="337"/>
    <n v="1031.25"/>
    <n v="0.3"/>
  </r>
  <r>
    <x v="2"/>
    <x v="2"/>
    <x v="112"/>
    <x v="2"/>
    <s v="Hawaii"/>
    <s v="Honolulu"/>
    <x v="1"/>
    <n v="0.60000000000000009"/>
    <n v="7000"/>
    <x v="249"/>
    <n v="1050.0000000000002"/>
    <n v="0.25"/>
  </r>
  <r>
    <x v="2"/>
    <x v="2"/>
    <x v="112"/>
    <x v="2"/>
    <s v="Hawaii"/>
    <s v="Honolulu"/>
    <x v="2"/>
    <n v="0.55000000000000004"/>
    <n v="5250"/>
    <x v="170"/>
    <n v="866.25000000000011"/>
    <n v="0.3"/>
  </r>
  <r>
    <x v="2"/>
    <x v="2"/>
    <x v="112"/>
    <x v="2"/>
    <s v="Hawaii"/>
    <s v="Honolulu"/>
    <x v="3"/>
    <n v="0.65000000000000013"/>
    <n v="5000"/>
    <x v="259"/>
    <n v="975.00000000000011"/>
    <n v="0.3"/>
  </r>
  <r>
    <x v="2"/>
    <x v="2"/>
    <x v="112"/>
    <x v="2"/>
    <s v="Hawaii"/>
    <s v="Honolulu"/>
    <x v="4"/>
    <n v="0.85000000000000009"/>
    <n v="4750"/>
    <x v="441"/>
    <n v="807.50000000000011"/>
    <n v="0.2"/>
  </r>
  <r>
    <x v="2"/>
    <x v="2"/>
    <x v="112"/>
    <x v="2"/>
    <s v="Hawaii"/>
    <s v="Honolulu"/>
    <x v="5"/>
    <n v="0.90000000000000013"/>
    <n v="6000"/>
    <x v="296"/>
    <n v="2430.0000000000005"/>
    <n v="0.45"/>
  </r>
  <r>
    <x v="2"/>
    <x v="2"/>
    <x v="113"/>
    <x v="2"/>
    <s v="Hawaii"/>
    <s v="Honolulu"/>
    <x v="0"/>
    <n v="0.75000000000000011"/>
    <n v="8000"/>
    <x v="272"/>
    <n v="1800.0000000000002"/>
    <n v="0.3"/>
  </r>
  <r>
    <x v="2"/>
    <x v="2"/>
    <x v="113"/>
    <x v="2"/>
    <s v="Hawaii"/>
    <s v="Honolulu"/>
    <x v="1"/>
    <n v="0.8500000000000002"/>
    <n v="8000"/>
    <x v="442"/>
    <n v="1700.0000000000005"/>
    <n v="0.25"/>
  </r>
  <r>
    <x v="2"/>
    <x v="2"/>
    <x v="113"/>
    <x v="2"/>
    <s v="Hawaii"/>
    <s v="Honolulu"/>
    <x v="2"/>
    <n v="0.80000000000000016"/>
    <n v="6000"/>
    <x v="443"/>
    <n v="1440.0000000000002"/>
    <n v="0.3"/>
  </r>
  <r>
    <x v="2"/>
    <x v="2"/>
    <x v="113"/>
    <x v="2"/>
    <s v="Hawaii"/>
    <s v="Honolulu"/>
    <x v="3"/>
    <n v="0.80000000000000016"/>
    <n v="6000"/>
    <x v="443"/>
    <n v="1440.0000000000002"/>
    <n v="0.3"/>
  </r>
  <r>
    <x v="2"/>
    <x v="2"/>
    <x v="113"/>
    <x v="2"/>
    <s v="Hawaii"/>
    <s v="Honolulu"/>
    <x v="4"/>
    <n v="0.90000000000000013"/>
    <n v="5250"/>
    <x v="444"/>
    <n v="945.00000000000023"/>
    <n v="0.2"/>
  </r>
  <r>
    <x v="2"/>
    <x v="2"/>
    <x v="113"/>
    <x v="2"/>
    <s v="Hawaii"/>
    <s v="Honolulu"/>
    <x v="5"/>
    <n v="0.95000000000000018"/>
    <n v="6250"/>
    <x v="445"/>
    <n v="2671.8750000000005"/>
    <n v="0.45"/>
  </r>
  <r>
    <x v="0"/>
    <x v="0"/>
    <x v="78"/>
    <x v="4"/>
    <s v="Florida"/>
    <s v="Orlando"/>
    <x v="0"/>
    <n v="0.45"/>
    <n v="8500"/>
    <x v="3"/>
    <n v="1721.25"/>
    <n v="0.45"/>
  </r>
  <r>
    <x v="0"/>
    <x v="0"/>
    <x v="78"/>
    <x v="4"/>
    <s v="Florida"/>
    <s v="Orlando"/>
    <x v="1"/>
    <n v="0.45"/>
    <n v="6500"/>
    <x v="62"/>
    <n v="1023.7499999999999"/>
    <n v="0.35"/>
  </r>
  <r>
    <x v="0"/>
    <x v="0"/>
    <x v="78"/>
    <x v="4"/>
    <s v="Florida"/>
    <s v="Orlando"/>
    <x v="2"/>
    <n v="0.35000000000000003"/>
    <n v="6500"/>
    <x v="154"/>
    <n v="568.75"/>
    <n v="0.25"/>
  </r>
  <r>
    <x v="0"/>
    <x v="0"/>
    <x v="78"/>
    <x v="4"/>
    <s v="Florida"/>
    <s v="Orlando"/>
    <x v="3"/>
    <n v="0.39999999999999997"/>
    <n v="5000"/>
    <x v="236"/>
    <n v="599.99999999999989"/>
    <n v="0.3"/>
  </r>
  <r>
    <x v="0"/>
    <x v="0"/>
    <x v="78"/>
    <x v="4"/>
    <s v="Florida"/>
    <s v="Orlando"/>
    <x v="4"/>
    <n v="0.55000000000000004"/>
    <n v="5500"/>
    <x v="446"/>
    <n v="1058.75"/>
    <n v="0.35"/>
  </r>
  <r>
    <x v="0"/>
    <x v="0"/>
    <x v="78"/>
    <x v="4"/>
    <s v="Florida"/>
    <s v="Orlando"/>
    <x v="5"/>
    <n v="0.45"/>
    <n v="6500"/>
    <x v="62"/>
    <n v="1462.5"/>
    <n v="0.5"/>
  </r>
  <r>
    <x v="0"/>
    <x v="0"/>
    <x v="79"/>
    <x v="4"/>
    <s v="Florida"/>
    <s v="Orlando"/>
    <x v="0"/>
    <n v="0.45"/>
    <n v="9000"/>
    <x v="72"/>
    <n v="1822.5"/>
    <n v="0.45"/>
  </r>
  <r>
    <x v="0"/>
    <x v="0"/>
    <x v="79"/>
    <x v="4"/>
    <s v="Florida"/>
    <s v="Orlando"/>
    <x v="1"/>
    <n v="0.45"/>
    <n v="5500"/>
    <x v="111"/>
    <n v="866.25"/>
    <n v="0.35"/>
  </r>
  <r>
    <x v="0"/>
    <x v="0"/>
    <x v="79"/>
    <x v="4"/>
    <s v="Florida"/>
    <s v="Orlando"/>
    <x v="2"/>
    <n v="0.35000000000000003"/>
    <n v="6000"/>
    <x v="193"/>
    <n v="525"/>
    <n v="0.25"/>
  </r>
  <r>
    <x v="0"/>
    <x v="0"/>
    <x v="79"/>
    <x v="4"/>
    <s v="Florida"/>
    <s v="Orlando"/>
    <x v="3"/>
    <n v="0.39999999999999997"/>
    <n v="4750"/>
    <x v="447"/>
    <n v="569.99999999999989"/>
    <n v="0.3"/>
  </r>
  <r>
    <x v="0"/>
    <x v="0"/>
    <x v="79"/>
    <x v="4"/>
    <s v="Florida"/>
    <s v="Orlando"/>
    <x v="4"/>
    <n v="0.55000000000000004"/>
    <n v="5500"/>
    <x v="446"/>
    <n v="1058.75"/>
    <n v="0.35"/>
  </r>
  <r>
    <x v="0"/>
    <x v="0"/>
    <x v="79"/>
    <x v="4"/>
    <s v="Florida"/>
    <s v="Orlando"/>
    <x v="5"/>
    <n v="0.45"/>
    <n v="6500"/>
    <x v="62"/>
    <n v="1462.5"/>
    <n v="0.5"/>
  </r>
  <r>
    <x v="0"/>
    <x v="0"/>
    <x v="80"/>
    <x v="4"/>
    <s v="Florida"/>
    <s v="Orlando"/>
    <x v="0"/>
    <n v="0.45"/>
    <n v="8700"/>
    <x v="448"/>
    <n v="1761.75"/>
    <n v="0.45"/>
  </r>
  <r>
    <x v="0"/>
    <x v="0"/>
    <x v="80"/>
    <x v="4"/>
    <s v="Florida"/>
    <s v="Orlando"/>
    <x v="1"/>
    <n v="0.45"/>
    <n v="5500"/>
    <x v="111"/>
    <n v="866.25"/>
    <n v="0.35"/>
  </r>
  <r>
    <x v="0"/>
    <x v="0"/>
    <x v="80"/>
    <x v="4"/>
    <s v="Florida"/>
    <s v="Orlando"/>
    <x v="2"/>
    <n v="0.35000000000000003"/>
    <n v="5750"/>
    <x v="354"/>
    <n v="503.12500000000006"/>
    <n v="0.25"/>
  </r>
  <r>
    <x v="0"/>
    <x v="0"/>
    <x v="80"/>
    <x v="4"/>
    <s v="Florida"/>
    <s v="Orlando"/>
    <x v="3"/>
    <n v="0.39999999999999997"/>
    <n v="4250"/>
    <x v="449"/>
    <n v="509.99999999999989"/>
    <n v="0.3"/>
  </r>
  <r>
    <x v="0"/>
    <x v="0"/>
    <x v="80"/>
    <x v="4"/>
    <s v="Florida"/>
    <s v="Orlando"/>
    <x v="4"/>
    <n v="0.55000000000000004"/>
    <n v="4750"/>
    <x v="356"/>
    <n v="914.37499999999989"/>
    <n v="0.35"/>
  </r>
  <r>
    <x v="0"/>
    <x v="0"/>
    <x v="80"/>
    <x v="4"/>
    <s v="Florida"/>
    <s v="Orlando"/>
    <x v="5"/>
    <n v="0.45"/>
    <n v="5750"/>
    <x v="70"/>
    <n v="1293.75"/>
    <n v="0.5"/>
  </r>
  <r>
    <x v="0"/>
    <x v="0"/>
    <x v="81"/>
    <x v="4"/>
    <s v="Florida"/>
    <s v="Orlando"/>
    <x v="0"/>
    <n v="0.45"/>
    <n v="8250"/>
    <x v="8"/>
    <n v="1670.625"/>
    <n v="0.45"/>
  </r>
  <r>
    <x v="0"/>
    <x v="0"/>
    <x v="81"/>
    <x v="4"/>
    <s v="Florida"/>
    <s v="Orlando"/>
    <x v="1"/>
    <n v="0.45"/>
    <n v="5250"/>
    <x v="45"/>
    <n v="826.875"/>
    <n v="0.35"/>
  </r>
  <r>
    <x v="0"/>
    <x v="0"/>
    <x v="81"/>
    <x v="4"/>
    <s v="Florida"/>
    <s v="Orlando"/>
    <x v="2"/>
    <n v="0.35000000000000003"/>
    <n v="5250"/>
    <x v="450"/>
    <n v="459.37500000000006"/>
    <n v="0.25"/>
  </r>
  <r>
    <x v="0"/>
    <x v="0"/>
    <x v="81"/>
    <x v="4"/>
    <s v="Florida"/>
    <s v="Orlando"/>
    <x v="3"/>
    <n v="0.39999999999999997"/>
    <n v="4500"/>
    <x v="451"/>
    <n v="539.99999999999989"/>
    <n v="0.3"/>
  </r>
  <r>
    <x v="0"/>
    <x v="0"/>
    <x v="81"/>
    <x v="4"/>
    <s v="Florida"/>
    <s v="Orlando"/>
    <x v="4"/>
    <n v="0.55000000000000004"/>
    <n v="4750"/>
    <x v="356"/>
    <n v="914.37499999999989"/>
    <n v="0.35"/>
  </r>
  <r>
    <x v="0"/>
    <x v="0"/>
    <x v="81"/>
    <x v="4"/>
    <s v="Florida"/>
    <s v="Orlando"/>
    <x v="5"/>
    <n v="0.45"/>
    <n v="6000"/>
    <x v="52"/>
    <n v="1350"/>
    <n v="0.5"/>
  </r>
  <r>
    <x v="0"/>
    <x v="0"/>
    <x v="82"/>
    <x v="4"/>
    <s v="Florida"/>
    <s v="Orlando"/>
    <x v="0"/>
    <n v="0.55000000000000004"/>
    <n v="8700"/>
    <x v="452"/>
    <n v="2153.25"/>
    <n v="0.45"/>
  </r>
  <r>
    <x v="0"/>
    <x v="0"/>
    <x v="82"/>
    <x v="4"/>
    <s v="Florida"/>
    <s v="Orlando"/>
    <x v="1"/>
    <n v="0.55000000000000004"/>
    <n v="5750"/>
    <x v="76"/>
    <n v="1106.875"/>
    <n v="0.35"/>
  </r>
  <r>
    <x v="0"/>
    <x v="0"/>
    <x v="82"/>
    <x v="4"/>
    <s v="Florida"/>
    <s v="Orlando"/>
    <x v="2"/>
    <n v="0.5"/>
    <n v="5500"/>
    <x v="80"/>
    <n v="687.5"/>
    <n v="0.25"/>
  </r>
  <r>
    <x v="0"/>
    <x v="0"/>
    <x v="82"/>
    <x v="4"/>
    <s v="Florida"/>
    <s v="Orlando"/>
    <x v="3"/>
    <n v="0.5"/>
    <n v="5000"/>
    <x v="54"/>
    <n v="750"/>
    <n v="0.3"/>
  </r>
  <r>
    <x v="0"/>
    <x v="0"/>
    <x v="82"/>
    <x v="4"/>
    <s v="Florida"/>
    <s v="Orlando"/>
    <x v="4"/>
    <n v="0.6"/>
    <n v="5250"/>
    <x v="40"/>
    <n v="1102.5"/>
    <n v="0.35"/>
  </r>
  <r>
    <x v="0"/>
    <x v="0"/>
    <x v="82"/>
    <x v="4"/>
    <s v="Florida"/>
    <s v="Orlando"/>
    <x v="5"/>
    <n v="0.65"/>
    <n v="6250"/>
    <x v="113"/>
    <n v="2031.25"/>
    <n v="0.5"/>
  </r>
  <r>
    <x v="0"/>
    <x v="0"/>
    <x v="83"/>
    <x v="4"/>
    <s v="Florida"/>
    <s v="Orlando"/>
    <x v="0"/>
    <n v="0.6"/>
    <n v="8750"/>
    <x v="18"/>
    <n v="2362.5"/>
    <n v="0.45"/>
  </r>
  <r>
    <x v="0"/>
    <x v="0"/>
    <x v="83"/>
    <x v="4"/>
    <s v="Florida"/>
    <s v="Orlando"/>
    <x v="1"/>
    <n v="0.55000000000000004"/>
    <n v="6250"/>
    <x v="337"/>
    <n v="1203.125"/>
    <n v="0.35"/>
  </r>
  <r>
    <x v="0"/>
    <x v="0"/>
    <x v="83"/>
    <x v="4"/>
    <s v="Florida"/>
    <s v="Orlando"/>
    <x v="2"/>
    <n v="0.5"/>
    <n v="6000"/>
    <x v="61"/>
    <n v="750"/>
    <n v="0.25"/>
  </r>
  <r>
    <x v="0"/>
    <x v="0"/>
    <x v="83"/>
    <x v="4"/>
    <s v="Florida"/>
    <s v="Orlando"/>
    <x v="3"/>
    <n v="0.5"/>
    <n v="5750"/>
    <x v="79"/>
    <n v="862.5"/>
    <n v="0.3"/>
  </r>
  <r>
    <x v="0"/>
    <x v="0"/>
    <x v="83"/>
    <x v="4"/>
    <s v="Florida"/>
    <s v="Orlando"/>
    <x v="4"/>
    <n v="0.65"/>
    <n v="5750"/>
    <x v="90"/>
    <n v="1308.125"/>
    <n v="0.35"/>
  </r>
  <r>
    <x v="0"/>
    <x v="0"/>
    <x v="83"/>
    <x v="4"/>
    <s v="Florida"/>
    <s v="Orlando"/>
    <x v="5"/>
    <n v="0.70000000000000007"/>
    <n v="7250"/>
    <x v="246"/>
    <n v="2537.5000000000005"/>
    <n v="0.5"/>
  </r>
  <r>
    <x v="0"/>
    <x v="0"/>
    <x v="84"/>
    <x v="4"/>
    <s v="Florida"/>
    <s v="Orlando"/>
    <x v="0"/>
    <n v="0.65"/>
    <n v="9500"/>
    <x v="436"/>
    <n v="2778.75"/>
    <n v="0.45"/>
  </r>
  <r>
    <x v="0"/>
    <x v="0"/>
    <x v="84"/>
    <x v="4"/>
    <s v="Florida"/>
    <s v="Orlando"/>
    <x v="1"/>
    <n v="0.60000000000000009"/>
    <n v="7000"/>
    <x v="249"/>
    <n v="1470.0000000000002"/>
    <n v="0.35"/>
  </r>
  <r>
    <x v="0"/>
    <x v="0"/>
    <x v="84"/>
    <x v="4"/>
    <s v="Florida"/>
    <s v="Orlando"/>
    <x v="2"/>
    <n v="0.55000000000000004"/>
    <n v="6250"/>
    <x v="337"/>
    <n v="859.37500000000011"/>
    <n v="0.25"/>
  </r>
  <r>
    <x v="0"/>
    <x v="0"/>
    <x v="84"/>
    <x v="4"/>
    <s v="Florida"/>
    <s v="Orlando"/>
    <x v="3"/>
    <n v="0.55000000000000004"/>
    <n v="5750"/>
    <x v="76"/>
    <n v="948.75000000000011"/>
    <n v="0.3"/>
  </r>
  <r>
    <x v="0"/>
    <x v="0"/>
    <x v="84"/>
    <x v="4"/>
    <s v="Florida"/>
    <s v="Orlando"/>
    <x v="4"/>
    <n v="0.65"/>
    <n v="6000"/>
    <x v="87"/>
    <n v="1365"/>
    <n v="0.35"/>
  </r>
  <r>
    <x v="0"/>
    <x v="0"/>
    <x v="84"/>
    <x v="4"/>
    <s v="Florida"/>
    <s v="Orlando"/>
    <x v="5"/>
    <n v="0.70000000000000007"/>
    <n v="7750"/>
    <x v="102"/>
    <n v="2712.5000000000005"/>
    <n v="0.5"/>
  </r>
  <r>
    <x v="0"/>
    <x v="0"/>
    <x v="85"/>
    <x v="4"/>
    <s v="Florida"/>
    <s v="Orlando"/>
    <x v="0"/>
    <n v="0.65"/>
    <n v="9250"/>
    <x v="453"/>
    <n v="2705.625"/>
    <n v="0.45"/>
  </r>
  <r>
    <x v="0"/>
    <x v="0"/>
    <x v="85"/>
    <x v="4"/>
    <s v="Florida"/>
    <s v="Orlando"/>
    <x v="1"/>
    <n v="0.60000000000000009"/>
    <n v="7000"/>
    <x v="249"/>
    <n v="1470.0000000000002"/>
    <n v="0.35"/>
  </r>
  <r>
    <x v="0"/>
    <x v="0"/>
    <x v="85"/>
    <x v="4"/>
    <s v="Florida"/>
    <s v="Orlando"/>
    <x v="2"/>
    <n v="0.55000000000000004"/>
    <n v="6250"/>
    <x v="337"/>
    <n v="859.37500000000011"/>
    <n v="0.25"/>
  </r>
  <r>
    <x v="0"/>
    <x v="0"/>
    <x v="85"/>
    <x v="4"/>
    <s v="Florida"/>
    <s v="Orlando"/>
    <x v="3"/>
    <n v="0.45"/>
    <n v="5750"/>
    <x v="70"/>
    <n v="776.25"/>
    <n v="0.3"/>
  </r>
  <r>
    <x v="0"/>
    <x v="0"/>
    <x v="85"/>
    <x v="4"/>
    <s v="Florida"/>
    <s v="Orlando"/>
    <x v="4"/>
    <n v="0.55000000000000004"/>
    <n v="5500"/>
    <x v="446"/>
    <n v="1058.75"/>
    <n v="0.35"/>
  </r>
  <r>
    <x v="0"/>
    <x v="0"/>
    <x v="85"/>
    <x v="4"/>
    <s v="Florida"/>
    <s v="Orlando"/>
    <x v="5"/>
    <n v="0.60000000000000009"/>
    <n v="7250"/>
    <x v="454"/>
    <n v="2175.0000000000005"/>
    <n v="0.5"/>
  </r>
  <r>
    <x v="0"/>
    <x v="0"/>
    <x v="86"/>
    <x v="4"/>
    <s v="Florida"/>
    <s v="Orlando"/>
    <x v="0"/>
    <n v="0.55000000000000004"/>
    <n v="8500"/>
    <x v="68"/>
    <n v="2103.75"/>
    <n v="0.45"/>
  </r>
  <r>
    <x v="0"/>
    <x v="0"/>
    <x v="86"/>
    <x v="4"/>
    <s v="Florida"/>
    <s v="Orlando"/>
    <x v="1"/>
    <n v="0.50000000000000011"/>
    <n v="6500"/>
    <x v="455"/>
    <n v="1137.5000000000002"/>
    <n v="0.35"/>
  </r>
  <r>
    <x v="0"/>
    <x v="0"/>
    <x v="86"/>
    <x v="4"/>
    <s v="Florida"/>
    <s v="Orlando"/>
    <x v="2"/>
    <n v="0.45"/>
    <n v="5500"/>
    <x v="111"/>
    <n v="618.75"/>
    <n v="0.25"/>
  </r>
  <r>
    <x v="0"/>
    <x v="0"/>
    <x v="86"/>
    <x v="4"/>
    <s v="Florida"/>
    <s v="Orlando"/>
    <x v="3"/>
    <n v="0.45"/>
    <n v="5250"/>
    <x v="45"/>
    <n v="708.75"/>
    <n v="0.3"/>
  </r>
  <r>
    <x v="0"/>
    <x v="0"/>
    <x v="86"/>
    <x v="4"/>
    <s v="Florida"/>
    <s v="Orlando"/>
    <x v="4"/>
    <n v="0.55000000000000004"/>
    <n v="5250"/>
    <x v="170"/>
    <n v="1010.6250000000001"/>
    <n v="0.35"/>
  </r>
  <r>
    <x v="0"/>
    <x v="0"/>
    <x v="86"/>
    <x v="4"/>
    <s v="Florida"/>
    <s v="Orlando"/>
    <x v="5"/>
    <n v="0.60000000000000009"/>
    <n v="6250"/>
    <x v="232"/>
    <n v="1875.0000000000002"/>
    <n v="0.5"/>
  </r>
  <r>
    <x v="0"/>
    <x v="0"/>
    <x v="87"/>
    <x v="4"/>
    <s v="Florida"/>
    <s v="Orlando"/>
    <x v="0"/>
    <n v="0.60000000000000009"/>
    <n v="8000"/>
    <x v="443"/>
    <n v="2160.0000000000005"/>
    <n v="0.45"/>
  </r>
  <r>
    <x v="0"/>
    <x v="0"/>
    <x v="87"/>
    <x v="4"/>
    <s v="Florida"/>
    <s v="Orlando"/>
    <x v="1"/>
    <n v="0.50000000000000011"/>
    <n v="6250"/>
    <x v="456"/>
    <n v="1093.7500000000002"/>
    <n v="0.35"/>
  </r>
  <r>
    <x v="0"/>
    <x v="0"/>
    <x v="87"/>
    <x v="4"/>
    <s v="Florida"/>
    <s v="Orlando"/>
    <x v="2"/>
    <n v="0.50000000000000011"/>
    <n v="5250"/>
    <x v="195"/>
    <n v="656.25000000000011"/>
    <n v="0.25"/>
  </r>
  <r>
    <x v="0"/>
    <x v="0"/>
    <x v="87"/>
    <x v="4"/>
    <s v="Florida"/>
    <s v="Orlando"/>
    <x v="3"/>
    <n v="0.50000000000000011"/>
    <n v="5000"/>
    <x v="457"/>
    <n v="750.00000000000011"/>
    <n v="0.3"/>
  </r>
  <r>
    <x v="0"/>
    <x v="0"/>
    <x v="87"/>
    <x v="4"/>
    <s v="Florida"/>
    <s v="Orlando"/>
    <x v="4"/>
    <n v="0.60000000000000009"/>
    <n v="5000"/>
    <x v="252"/>
    <n v="1050"/>
    <n v="0.35"/>
  </r>
  <r>
    <x v="0"/>
    <x v="0"/>
    <x v="87"/>
    <x v="4"/>
    <s v="Florida"/>
    <s v="Orlando"/>
    <x v="5"/>
    <n v="0.65"/>
    <n v="6250"/>
    <x v="113"/>
    <n v="2031.25"/>
    <n v="0.5"/>
  </r>
  <r>
    <x v="0"/>
    <x v="0"/>
    <x v="88"/>
    <x v="4"/>
    <s v="Florida"/>
    <s v="Orlando"/>
    <x v="0"/>
    <n v="0.60000000000000009"/>
    <n v="7750"/>
    <x v="458"/>
    <n v="2092.5000000000005"/>
    <n v="0.45"/>
  </r>
  <r>
    <x v="0"/>
    <x v="0"/>
    <x v="88"/>
    <x v="4"/>
    <s v="Florida"/>
    <s v="Orlando"/>
    <x v="1"/>
    <n v="0.50000000000000011"/>
    <n v="6000"/>
    <x v="252"/>
    <n v="1050"/>
    <n v="0.35"/>
  </r>
  <r>
    <x v="0"/>
    <x v="0"/>
    <x v="88"/>
    <x v="4"/>
    <s v="Florida"/>
    <s v="Orlando"/>
    <x v="2"/>
    <n v="0.50000000000000011"/>
    <n v="5450"/>
    <x v="459"/>
    <n v="681.25000000000011"/>
    <n v="0.25"/>
  </r>
  <r>
    <x v="0"/>
    <x v="0"/>
    <x v="88"/>
    <x v="4"/>
    <s v="Florida"/>
    <s v="Orlando"/>
    <x v="3"/>
    <n v="0.50000000000000011"/>
    <n v="5750"/>
    <x v="460"/>
    <n v="862.50000000000011"/>
    <n v="0.3"/>
  </r>
  <r>
    <x v="0"/>
    <x v="0"/>
    <x v="88"/>
    <x v="4"/>
    <s v="Florida"/>
    <s v="Orlando"/>
    <x v="4"/>
    <n v="0.65"/>
    <n v="5500"/>
    <x v="88"/>
    <n v="1251.25"/>
    <n v="0.35"/>
  </r>
  <r>
    <x v="0"/>
    <x v="0"/>
    <x v="88"/>
    <x v="4"/>
    <s v="Florida"/>
    <s v="Orlando"/>
    <x v="5"/>
    <n v="0.7"/>
    <n v="6500"/>
    <x v="109"/>
    <n v="2275"/>
    <n v="0.5"/>
  </r>
  <r>
    <x v="0"/>
    <x v="0"/>
    <x v="89"/>
    <x v="4"/>
    <s v="Florida"/>
    <s v="Orlando"/>
    <x v="0"/>
    <n v="0.65"/>
    <n v="8750"/>
    <x v="31"/>
    <n v="2559.375"/>
    <n v="0.45"/>
  </r>
  <r>
    <x v="0"/>
    <x v="0"/>
    <x v="89"/>
    <x v="4"/>
    <s v="Florida"/>
    <s v="Orlando"/>
    <x v="1"/>
    <n v="0.55000000000000004"/>
    <n v="6750"/>
    <x v="105"/>
    <n v="1299.375"/>
    <n v="0.35"/>
  </r>
  <r>
    <x v="0"/>
    <x v="0"/>
    <x v="89"/>
    <x v="4"/>
    <s v="Florida"/>
    <s v="Orlando"/>
    <x v="2"/>
    <n v="0.55000000000000004"/>
    <n v="6250"/>
    <x v="337"/>
    <n v="859.37500000000011"/>
    <n v="0.25"/>
  </r>
  <r>
    <x v="0"/>
    <x v="0"/>
    <x v="89"/>
    <x v="4"/>
    <s v="Florida"/>
    <s v="Orlando"/>
    <x v="3"/>
    <n v="0.55000000000000004"/>
    <n v="5750"/>
    <x v="76"/>
    <n v="948.75000000000011"/>
    <n v="0.3"/>
  </r>
  <r>
    <x v="0"/>
    <x v="0"/>
    <x v="89"/>
    <x v="4"/>
    <s v="Florida"/>
    <s v="Orlando"/>
    <x v="4"/>
    <n v="0.65"/>
    <n v="5750"/>
    <x v="90"/>
    <n v="1308.125"/>
    <n v="0.35"/>
  </r>
  <r>
    <x v="0"/>
    <x v="0"/>
    <x v="89"/>
    <x v="4"/>
    <s v="Florida"/>
    <s v="Orlando"/>
    <x v="5"/>
    <n v="0.7"/>
    <n v="6750"/>
    <x v="176"/>
    <n v="2362.5"/>
    <n v="0.5"/>
  </r>
  <r>
    <x v="0"/>
    <x v="0"/>
    <x v="0"/>
    <x v="0"/>
    <s v="New York"/>
    <s v="Albany"/>
    <x v="0"/>
    <n v="0.4"/>
    <n v="8000"/>
    <x v="55"/>
    <n v="1600"/>
    <n v="0.5"/>
  </r>
  <r>
    <x v="0"/>
    <x v="0"/>
    <x v="0"/>
    <x v="0"/>
    <s v="New York"/>
    <s v="Albany"/>
    <x v="1"/>
    <n v="0.4"/>
    <n v="6000"/>
    <x v="50"/>
    <n v="720"/>
    <n v="0.3"/>
  </r>
  <r>
    <x v="0"/>
    <x v="0"/>
    <x v="0"/>
    <x v="0"/>
    <s v="New York"/>
    <s v="Albany"/>
    <x v="2"/>
    <n v="0.30000000000000004"/>
    <n v="6000"/>
    <x v="166"/>
    <n v="630"/>
    <n v="0.35"/>
  </r>
  <r>
    <x v="0"/>
    <x v="0"/>
    <x v="0"/>
    <x v="0"/>
    <s v="New York"/>
    <s v="Albany"/>
    <x v="3"/>
    <n v="0.35"/>
    <n v="4500"/>
    <x v="151"/>
    <n v="551.25"/>
    <n v="0.35"/>
  </r>
  <r>
    <x v="0"/>
    <x v="0"/>
    <x v="0"/>
    <x v="0"/>
    <s v="New York"/>
    <s v="Albany"/>
    <x v="4"/>
    <n v="0.5"/>
    <n v="5000"/>
    <x v="54"/>
    <n v="750"/>
    <n v="0.3"/>
  </r>
  <r>
    <x v="0"/>
    <x v="0"/>
    <x v="0"/>
    <x v="0"/>
    <s v="New York"/>
    <s v="Albany"/>
    <x v="5"/>
    <n v="0.4"/>
    <n v="6000"/>
    <x v="50"/>
    <n v="600"/>
    <n v="0.25"/>
  </r>
  <r>
    <x v="0"/>
    <x v="0"/>
    <x v="1"/>
    <x v="0"/>
    <s v="New York"/>
    <s v="Albany"/>
    <x v="0"/>
    <n v="0.4"/>
    <n v="8500"/>
    <x v="461"/>
    <n v="1700"/>
    <n v="0.5"/>
  </r>
  <r>
    <x v="0"/>
    <x v="0"/>
    <x v="1"/>
    <x v="0"/>
    <s v="New York"/>
    <s v="Albany"/>
    <x v="1"/>
    <n v="0.4"/>
    <n v="5000"/>
    <x v="47"/>
    <n v="600"/>
    <n v="0.3"/>
  </r>
  <r>
    <x v="0"/>
    <x v="0"/>
    <x v="1"/>
    <x v="0"/>
    <s v="New York"/>
    <s v="Albany"/>
    <x v="2"/>
    <n v="0.30000000000000004"/>
    <n v="5500"/>
    <x v="205"/>
    <n v="577.5"/>
    <n v="0.35"/>
  </r>
  <r>
    <x v="0"/>
    <x v="0"/>
    <x v="1"/>
    <x v="0"/>
    <s v="New York"/>
    <s v="Albany"/>
    <x v="3"/>
    <n v="0.35"/>
    <n v="4250"/>
    <x v="156"/>
    <n v="520.625"/>
    <n v="0.35"/>
  </r>
  <r>
    <x v="0"/>
    <x v="0"/>
    <x v="1"/>
    <x v="0"/>
    <s v="New York"/>
    <s v="Albany"/>
    <x v="4"/>
    <n v="0.5"/>
    <n v="5000"/>
    <x v="54"/>
    <n v="750"/>
    <n v="0.3"/>
  </r>
  <r>
    <x v="0"/>
    <x v="0"/>
    <x v="1"/>
    <x v="0"/>
    <s v="New York"/>
    <s v="Albany"/>
    <x v="5"/>
    <n v="0.4"/>
    <n v="6000"/>
    <x v="50"/>
    <n v="600"/>
    <n v="0.25"/>
  </r>
  <r>
    <x v="0"/>
    <x v="0"/>
    <x v="2"/>
    <x v="0"/>
    <s v="New York"/>
    <s v="Albany"/>
    <x v="0"/>
    <n v="0.4"/>
    <n v="8200"/>
    <x v="462"/>
    <n v="1640"/>
    <n v="0.5"/>
  </r>
  <r>
    <x v="0"/>
    <x v="0"/>
    <x v="2"/>
    <x v="0"/>
    <s v="New York"/>
    <s v="Albany"/>
    <x v="1"/>
    <n v="0.4"/>
    <n v="5250"/>
    <x v="193"/>
    <n v="630"/>
    <n v="0.3"/>
  </r>
  <r>
    <x v="0"/>
    <x v="0"/>
    <x v="2"/>
    <x v="0"/>
    <s v="New York"/>
    <s v="Albany"/>
    <x v="2"/>
    <n v="0.30000000000000004"/>
    <n v="5500"/>
    <x v="205"/>
    <n v="577.5"/>
    <n v="0.35"/>
  </r>
  <r>
    <x v="0"/>
    <x v="0"/>
    <x v="2"/>
    <x v="0"/>
    <s v="New York"/>
    <s v="Albany"/>
    <x v="3"/>
    <n v="0.35"/>
    <n v="4000"/>
    <x v="340"/>
    <n v="489.99999999999994"/>
    <n v="0.35"/>
  </r>
  <r>
    <x v="0"/>
    <x v="0"/>
    <x v="2"/>
    <x v="0"/>
    <s v="New York"/>
    <s v="Albany"/>
    <x v="4"/>
    <n v="0.5"/>
    <n v="4500"/>
    <x v="39"/>
    <n v="675"/>
    <n v="0.3"/>
  </r>
  <r>
    <x v="0"/>
    <x v="0"/>
    <x v="2"/>
    <x v="0"/>
    <s v="New York"/>
    <s v="Albany"/>
    <x v="5"/>
    <n v="0.4"/>
    <n v="5500"/>
    <x v="42"/>
    <n v="550"/>
    <n v="0.25"/>
  </r>
  <r>
    <x v="0"/>
    <x v="0"/>
    <x v="3"/>
    <x v="0"/>
    <s v="New York"/>
    <s v="Albany"/>
    <x v="0"/>
    <n v="0.4"/>
    <n v="8000"/>
    <x v="55"/>
    <n v="1600"/>
    <n v="0.5"/>
  </r>
  <r>
    <x v="0"/>
    <x v="0"/>
    <x v="3"/>
    <x v="0"/>
    <s v="New York"/>
    <s v="Albany"/>
    <x v="1"/>
    <n v="0.4"/>
    <n v="5000"/>
    <x v="47"/>
    <n v="600"/>
    <n v="0.3"/>
  </r>
  <r>
    <x v="0"/>
    <x v="0"/>
    <x v="3"/>
    <x v="0"/>
    <s v="New York"/>
    <s v="Albany"/>
    <x v="2"/>
    <n v="0.30000000000000004"/>
    <n v="5000"/>
    <x v="192"/>
    <n v="525"/>
    <n v="0.35"/>
  </r>
  <r>
    <x v="0"/>
    <x v="0"/>
    <x v="3"/>
    <x v="0"/>
    <s v="New York"/>
    <s v="Albany"/>
    <x v="3"/>
    <n v="0.35"/>
    <n v="4250"/>
    <x v="156"/>
    <n v="520.625"/>
    <n v="0.35"/>
  </r>
  <r>
    <x v="0"/>
    <x v="0"/>
    <x v="3"/>
    <x v="0"/>
    <s v="New York"/>
    <s v="Albany"/>
    <x v="4"/>
    <n v="0.5"/>
    <n v="4250"/>
    <x v="43"/>
    <n v="637.5"/>
    <n v="0.3"/>
  </r>
  <r>
    <x v="0"/>
    <x v="0"/>
    <x v="3"/>
    <x v="0"/>
    <s v="New York"/>
    <s v="Albany"/>
    <x v="5"/>
    <n v="0.4"/>
    <n v="5500"/>
    <x v="42"/>
    <n v="550"/>
    <n v="0.25"/>
  </r>
  <r>
    <x v="0"/>
    <x v="0"/>
    <x v="4"/>
    <x v="0"/>
    <s v="New York"/>
    <s v="Albany"/>
    <x v="0"/>
    <n v="0.5"/>
    <n v="8200"/>
    <x v="463"/>
    <n v="2050"/>
    <n v="0.5"/>
  </r>
  <r>
    <x v="0"/>
    <x v="0"/>
    <x v="4"/>
    <x v="0"/>
    <s v="New York"/>
    <s v="Albany"/>
    <x v="1"/>
    <n v="0.45000000000000007"/>
    <n v="5250"/>
    <x v="464"/>
    <n v="708.75000000000011"/>
    <n v="0.3"/>
  </r>
  <r>
    <x v="0"/>
    <x v="0"/>
    <x v="4"/>
    <x v="0"/>
    <s v="New York"/>
    <s v="Albany"/>
    <x v="2"/>
    <n v="0.4"/>
    <n v="5000"/>
    <x v="47"/>
    <n v="700"/>
    <n v="0.35"/>
  </r>
  <r>
    <x v="0"/>
    <x v="0"/>
    <x v="4"/>
    <x v="0"/>
    <s v="New York"/>
    <s v="Albany"/>
    <x v="3"/>
    <n v="0.4"/>
    <n v="4500"/>
    <x v="207"/>
    <n v="630"/>
    <n v="0.35"/>
  </r>
  <r>
    <x v="0"/>
    <x v="0"/>
    <x v="4"/>
    <x v="0"/>
    <s v="New York"/>
    <s v="Albany"/>
    <x v="4"/>
    <n v="0.5"/>
    <n v="4750"/>
    <x v="351"/>
    <n v="712.5"/>
    <n v="0.3"/>
  </r>
  <r>
    <x v="0"/>
    <x v="0"/>
    <x v="4"/>
    <x v="0"/>
    <s v="New York"/>
    <s v="Albany"/>
    <x v="5"/>
    <n v="0.55000000000000004"/>
    <n v="6000"/>
    <x v="221"/>
    <n v="825.00000000000011"/>
    <n v="0.25"/>
  </r>
  <r>
    <x v="0"/>
    <x v="0"/>
    <x v="5"/>
    <x v="0"/>
    <s v="New York"/>
    <s v="Albany"/>
    <x v="0"/>
    <n v="0.5"/>
    <n v="8500"/>
    <x v="17"/>
    <n v="2125"/>
    <n v="0.5"/>
  </r>
  <r>
    <x v="0"/>
    <x v="0"/>
    <x v="5"/>
    <x v="0"/>
    <s v="New York"/>
    <s v="Albany"/>
    <x v="1"/>
    <n v="0.45000000000000007"/>
    <n v="6000"/>
    <x v="217"/>
    <n v="810.00000000000011"/>
    <n v="0.3"/>
  </r>
  <r>
    <x v="0"/>
    <x v="0"/>
    <x v="5"/>
    <x v="0"/>
    <s v="New York"/>
    <s v="Albany"/>
    <x v="2"/>
    <n v="0.4"/>
    <n v="5250"/>
    <x v="193"/>
    <n v="735"/>
    <n v="0.35"/>
  </r>
  <r>
    <x v="0"/>
    <x v="0"/>
    <x v="5"/>
    <x v="0"/>
    <s v="New York"/>
    <s v="Albany"/>
    <x v="3"/>
    <n v="0.4"/>
    <n v="5000"/>
    <x v="47"/>
    <n v="700"/>
    <n v="0.35"/>
  </r>
  <r>
    <x v="0"/>
    <x v="0"/>
    <x v="5"/>
    <x v="0"/>
    <s v="New York"/>
    <s v="Albany"/>
    <x v="4"/>
    <n v="0.5"/>
    <n v="5000"/>
    <x v="54"/>
    <n v="750"/>
    <n v="0.3"/>
  </r>
  <r>
    <x v="0"/>
    <x v="0"/>
    <x v="5"/>
    <x v="0"/>
    <s v="New York"/>
    <s v="Albany"/>
    <x v="5"/>
    <n v="0.55000000000000004"/>
    <n v="6500"/>
    <x v="465"/>
    <n v="893.75000000000011"/>
    <n v="0.25"/>
  </r>
  <r>
    <x v="0"/>
    <x v="0"/>
    <x v="6"/>
    <x v="0"/>
    <s v="New York"/>
    <s v="Albany"/>
    <x v="0"/>
    <n v="0.5"/>
    <n v="8750"/>
    <x v="242"/>
    <n v="2187.5"/>
    <n v="0.5"/>
  </r>
  <r>
    <x v="0"/>
    <x v="0"/>
    <x v="6"/>
    <x v="0"/>
    <s v="New York"/>
    <s v="Albany"/>
    <x v="1"/>
    <n v="0.45000000000000007"/>
    <n v="6250"/>
    <x v="224"/>
    <n v="843.75000000000011"/>
    <n v="0.3"/>
  </r>
  <r>
    <x v="0"/>
    <x v="0"/>
    <x v="6"/>
    <x v="0"/>
    <s v="New York"/>
    <s v="Albany"/>
    <x v="2"/>
    <n v="0.4"/>
    <n v="5500"/>
    <x v="42"/>
    <n v="770"/>
    <n v="0.35"/>
  </r>
  <r>
    <x v="0"/>
    <x v="0"/>
    <x v="6"/>
    <x v="0"/>
    <s v="New York"/>
    <s v="Albany"/>
    <x v="3"/>
    <n v="0.4"/>
    <n v="5000"/>
    <x v="47"/>
    <n v="700"/>
    <n v="0.35"/>
  </r>
  <r>
    <x v="0"/>
    <x v="0"/>
    <x v="6"/>
    <x v="0"/>
    <s v="New York"/>
    <s v="Albany"/>
    <x v="4"/>
    <n v="0.5"/>
    <n v="5250"/>
    <x v="48"/>
    <n v="787.5"/>
    <n v="0.3"/>
  </r>
  <r>
    <x v="0"/>
    <x v="0"/>
    <x v="6"/>
    <x v="0"/>
    <s v="New York"/>
    <s v="Albany"/>
    <x v="5"/>
    <n v="0.55000000000000004"/>
    <n v="7000"/>
    <x v="104"/>
    <n v="962.50000000000011"/>
    <n v="0.25"/>
  </r>
  <r>
    <x v="0"/>
    <x v="0"/>
    <x v="7"/>
    <x v="0"/>
    <s v="New York"/>
    <s v="Albany"/>
    <x v="0"/>
    <n v="0.5"/>
    <n v="8500"/>
    <x v="17"/>
    <n v="2125"/>
    <n v="0.5"/>
  </r>
  <r>
    <x v="0"/>
    <x v="0"/>
    <x v="7"/>
    <x v="0"/>
    <s v="New York"/>
    <s v="Albany"/>
    <x v="1"/>
    <n v="0.45000000000000007"/>
    <n v="6250"/>
    <x v="224"/>
    <n v="843.75000000000011"/>
    <n v="0.3"/>
  </r>
  <r>
    <x v="0"/>
    <x v="0"/>
    <x v="7"/>
    <x v="0"/>
    <s v="New York"/>
    <s v="Albany"/>
    <x v="2"/>
    <n v="0.4"/>
    <n v="5500"/>
    <x v="42"/>
    <n v="770"/>
    <n v="0.35"/>
  </r>
  <r>
    <x v="0"/>
    <x v="0"/>
    <x v="7"/>
    <x v="0"/>
    <s v="New York"/>
    <s v="Albany"/>
    <x v="3"/>
    <n v="0.4"/>
    <n v="5250"/>
    <x v="193"/>
    <n v="735"/>
    <n v="0.35"/>
  </r>
  <r>
    <x v="0"/>
    <x v="0"/>
    <x v="7"/>
    <x v="0"/>
    <s v="New York"/>
    <s v="Albany"/>
    <x v="4"/>
    <n v="0.5"/>
    <n v="5000"/>
    <x v="54"/>
    <n v="750"/>
    <n v="0.3"/>
  </r>
  <r>
    <x v="0"/>
    <x v="0"/>
    <x v="7"/>
    <x v="0"/>
    <s v="New York"/>
    <s v="Albany"/>
    <x v="5"/>
    <n v="0.55000000000000004"/>
    <n v="6750"/>
    <x v="105"/>
    <n v="928.12500000000011"/>
    <n v="0.25"/>
  </r>
  <r>
    <x v="0"/>
    <x v="0"/>
    <x v="8"/>
    <x v="0"/>
    <s v="New York"/>
    <s v="Albany"/>
    <x v="0"/>
    <n v="0.5"/>
    <n v="8000"/>
    <x v="2"/>
    <n v="2000"/>
    <n v="0.5"/>
  </r>
  <r>
    <x v="0"/>
    <x v="0"/>
    <x v="8"/>
    <x v="0"/>
    <s v="New York"/>
    <s v="Albany"/>
    <x v="1"/>
    <n v="0.45000000000000007"/>
    <n v="6000"/>
    <x v="217"/>
    <n v="810.00000000000011"/>
    <n v="0.3"/>
  </r>
  <r>
    <x v="0"/>
    <x v="0"/>
    <x v="8"/>
    <x v="0"/>
    <s v="New York"/>
    <s v="Albany"/>
    <x v="2"/>
    <n v="0.4"/>
    <n v="5250"/>
    <x v="193"/>
    <n v="735"/>
    <n v="0.35"/>
  </r>
  <r>
    <x v="0"/>
    <x v="0"/>
    <x v="8"/>
    <x v="0"/>
    <s v="New York"/>
    <s v="Albany"/>
    <x v="3"/>
    <n v="0.4"/>
    <n v="5000"/>
    <x v="47"/>
    <n v="700"/>
    <n v="0.35"/>
  </r>
  <r>
    <x v="0"/>
    <x v="0"/>
    <x v="8"/>
    <x v="0"/>
    <s v="New York"/>
    <s v="Albany"/>
    <x v="4"/>
    <n v="0.5"/>
    <n v="5000"/>
    <x v="54"/>
    <n v="750"/>
    <n v="0.3"/>
  </r>
  <r>
    <x v="0"/>
    <x v="0"/>
    <x v="8"/>
    <x v="0"/>
    <s v="New York"/>
    <s v="Albany"/>
    <x v="5"/>
    <n v="0.55000000000000004"/>
    <n v="6000"/>
    <x v="221"/>
    <n v="825.00000000000011"/>
    <n v="0.25"/>
  </r>
  <r>
    <x v="0"/>
    <x v="0"/>
    <x v="9"/>
    <x v="0"/>
    <s v="New York"/>
    <s v="Albany"/>
    <x v="0"/>
    <n v="0.55000000000000004"/>
    <n v="7750"/>
    <x v="100"/>
    <n v="2131.25"/>
    <n v="0.5"/>
  </r>
  <r>
    <x v="0"/>
    <x v="0"/>
    <x v="9"/>
    <x v="0"/>
    <s v="New York"/>
    <s v="Albany"/>
    <x v="1"/>
    <n v="0.45000000000000007"/>
    <n v="6000"/>
    <x v="217"/>
    <n v="810.00000000000011"/>
    <n v="0.3"/>
  </r>
  <r>
    <x v="0"/>
    <x v="0"/>
    <x v="9"/>
    <x v="0"/>
    <s v="New York"/>
    <s v="Albany"/>
    <x v="2"/>
    <n v="0.45000000000000007"/>
    <n v="5000"/>
    <x v="223"/>
    <n v="787.50000000000011"/>
    <n v="0.35"/>
  </r>
  <r>
    <x v="0"/>
    <x v="0"/>
    <x v="9"/>
    <x v="0"/>
    <s v="New York"/>
    <s v="Albany"/>
    <x v="3"/>
    <n v="0.45000000000000007"/>
    <n v="4750"/>
    <x v="466"/>
    <n v="748.12500000000011"/>
    <n v="0.35"/>
  </r>
  <r>
    <x v="0"/>
    <x v="0"/>
    <x v="9"/>
    <x v="0"/>
    <s v="New York"/>
    <s v="Albany"/>
    <x v="4"/>
    <n v="0.55000000000000004"/>
    <n v="4750"/>
    <x v="356"/>
    <n v="783.75"/>
    <n v="0.3"/>
  </r>
  <r>
    <x v="0"/>
    <x v="0"/>
    <x v="9"/>
    <x v="0"/>
    <s v="New York"/>
    <s v="Albany"/>
    <x v="5"/>
    <n v="0.6"/>
    <n v="6000"/>
    <x v="11"/>
    <n v="900"/>
    <n v="0.25"/>
  </r>
  <r>
    <x v="0"/>
    <x v="0"/>
    <x v="10"/>
    <x v="0"/>
    <s v="New York"/>
    <s v="Albany"/>
    <x v="0"/>
    <n v="0.55000000000000004"/>
    <n v="7500"/>
    <x v="71"/>
    <n v="2062.5"/>
    <n v="0.5"/>
  </r>
  <r>
    <x v="0"/>
    <x v="0"/>
    <x v="10"/>
    <x v="0"/>
    <s v="New York"/>
    <s v="Albany"/>
    <x v="1"/>
    <n v="0.45000000000000007"/>
    <n v="5750"/>
    <x v="339"/>
    <n v="776.25000000000011"/>
    <n v="0.3"/>
  </r>
  <r>
    <x v="0"/>
    <x v="0"/>
    <x v="10"/>
    <x v="0"/>
    <s v="New York"/>
    <s v="Albany"/>
    <x v="2"/>
    <n v="0.45000000000000007"/>
    <n v="5200"/>
    <x v="467"/>
    <n v="819.00000000000011"/>
    <n v="0.35"/>
  </r>
  <r>
    <x v="0"/>
    <x v="0"/>
    <x v="10"/>
    <x v="0"/>
    <s v="New York"/>
    <s v="Albany"/>
    <x v="3"/>
    <n v="0.45000000000000007"/>
    <n v="5000"/>
    <x v="223"/>
    <n v="787.50000000000011"/>
    <n v="0.35"/>
  </r>
  <r>
    <x v="0"/>
    <x v="0"/>
    <x v="10"/>
    <x v="0"/>
    <s v="New York"/>
    <s v="Albany"/>
    <x v="4"/>
    <n v="0.55000000000000004"/>
    <n v="4750"/>
    <x v="356"/>
    <n v="783.75"/>
    <n v="0.3"/>
  </r>
  <r>
    <x v="0"/>
    <x v="0"/>
    <x v="10"/>
    <x v="0"/>
    <s v="New York"/>
    <s v="Albany"/>
    <x v="5"/>
    <n v="0.6"/>
    <n v="5750"/>
    <x v="425"/>
    <n v="862.5"/>
    <n v="0.25"/>
  </r>
  <r>
    <x v="0"/>
    <x v="0"/>
    <x v="11"/>
    <x v="0"/>
    <s v="New York"/>
    <s v="Albany"/>
    <x v="0"/>
    <n v="0.55000000000000004"/>
    <n v="8000"/>
    <x v="63"/>
    <n v="2200"/>
    <n v="0.5"/>
  </r>
  <r>
    <x v="0"/>
    <x v="0"/>
    <x v="11"/>
    <x v="0"/>
    <s v="New York"/>
    <s v="Albany"/>
    <x v="1"/>
    <n v="0.45000000000000007"/>
    <n v="6000"/>
    <x v="217"/>
    <n v="810.00000000000011"/>
    <n v="0.3"/>
  </r>
  <r>
    <x v="0"/>
    <x v="0"/>
    <x v="11"/>
    <x v="0"/>
    <s v="New York"/>
    <s v="Albany"/>
    <x v="2"/>
    <n v="0.45000000000000007"/>
    <n v="5500"/>
    <x v="468"/>
    <n v="866.25000000000011"/>
    <n v="0.35"/>
  </r>
  <r>
    <x v="0"/>
    <x v="0"/>
    <x v="11"/>
    <x v="0"/>
    <s v="New York"/>
    <s v="Albany"/>
    <x v="3"/>
    <n v="0.45000000000000007"/>
    <n v="5000"/>
    <x v="223"/>
    <n v="787.50000000000011"/>
    <n v="0.35"/>
  </r>
  <r>
    <x v="0"/>
    <x v="0"/>
    <x v="11"/>
    <x v="0"/>
    <s v="New York"/>
    <s v="Albany"/>
    <x v="4"/>
    <n v="0.55000000000000004"/>
    <n v="5000"/>
    <x v="80"/>
    <n v="825"/>
    <n v="0.3"/>
  </r>
  <r>
    <x v="0"/>
    <x v="0"/>
    <x v="11"/>
    <x v="0"/>
    <s v="New York"/>
    <s v="Albany"/>
    <x v="5"/>
    <n v="0.6"/>
    <n v="6000"/>
    <x v="11"/>
    <n v="900"/>
    <n v="0.25"/>
  </r>
  <r>
    <x v="2"/>
    <x v="2"/>
    <x v="145"/>
    <x v="2"/>
    <s v="Wyoming"/>
    <s v="Cheyenne"/>
    <x v="0"/>
    <n v="0.30000000000000004"/>
    <n v="3500"/>
    <x v="187"/>
    <n v="367.50000000000006"/>
    <n v="0.35"/>
  </r>
  <r>
    <x v="2"/>
    <x v="2"/>
    <x v="145"/>
    <x v="2"/>
    <s v="Wyoming"/>
    <s v="Cheyenne"/>
    <x v="1"/>
    <n v="0.4"/>
    <n v="3500"/>
    <x v="340"/>
    <n v="489.99999999999994"/>
    <n v="0.35"/>
  </r>
  <r>
    <x v="2"/>
    <x v="2"/>
    <x v="145"/>
    <x v="2"/>
    <s v="Wyoming"/>
    <s v="Cheyenne"/>
    <x v="2"/>
    <n v="0.4"/>
    <n v="3500"/>
    <x v="340"/>
    <n v="489.99999999999994"/>
    <n v="0.35"/>
  </r>
  <r>
    <x v="2"/>
    <x v="2"/>
    <x v="145"/>
    <x v="2"/>
    <s v="Wyoming"/>
    <s v="Cheyenne"/>
    <x v="3"/>
    <n v="0.4"/>
    <n v="2000"/>
    <x v="134"/>
    <n v="280"/>
    <n v="0.35"/>
  </r>
  <r>
    <x v="2"/>
    <x v="2"/>
    <x v="145"/>
    <x v="2"/>
    <s v="Wyoming"/>
    <s v="Cheyenne"/>
    <x v="4"/>
    <n v="0.45000000000000007"/>
    <n v="1500"/>
    <x v="318"/>
    <n v="270.00000000000006"/>
    <n v="0.4"/>
  </r>
  <r>
    <x v="2"/>
    <x v="2"/>
    <x v="145"/>
    <x v="2"/>
    <s v="Wyoming"/>
    <s v="Cheyenne"/>
    <x v="5"/>
    <n v="0.4"/>
    <n v="4000"/>
    <x v="173"/>
    <n v="480"/>
    <n v="0.3"/>
  </r>
  <r>
    <x v="2"/>
    <x v="2"/>
    <x v="146"/>
    <x v="2"/>
    <s v="Wyoming"/>
    <s v="Cheyenne"/>
    <x v="0"/>
    <n v="0.30000000000000004"/>
    <n v="4500"/>
    <x v="139"/>
    <n v="472.50000000000006"/>
    <n v="0.35"/>
  </r>
  <r>
    <x v="2"/>
    <x v="2"/>
    <x v="146"/>
    <x v="2"/>
    <s v="Wyoming"/>
    <s v="Cheyenne"/>
    <x v="1"/>
    <n v="0.4"/>
    <n v="3500"/>
    <x v="340"/>
    <n v="489.99999999999994"/>
    <n v="0.35"/>
  </r>
  <r>
    <x v="2"/>
    <x v="2"/>
    <x v="146"/>
    <x v="2"/>
    <s v="Wyoming"/>
    <s v="Cheyenne"/>
    <x v="2"/>
    <n v="0.4"/>
    <n v="3500"/>
    <x v="340"/>
    <n v="489.99999999999994"/>
    <n v="0.35"/>
  </r>
  <r>
    <x v="2"/>
    <x v="2"/>
    <x v="146"/>
    <x v="2"/>
    <s v="Wyoming"/>
    <s v="Cheyenne"/>
    <x v="3"/>
    <n v="0.4"/>
    <n v="2000"/>
    <x v="134"/>
    <n v="280"/>
    <n v="0.35"/>
  </r>
  <r>
    <x v="2"/>
    <x v="2"/>
    <x v="146"/>
    <x v="2"/>
    <s v="Wyoming"/>
    <s v="Cheyenne"/>
    <x v="4"/>
    <n v="0.45000000000000007"/>
    <n v="1250"/>
    <x v="469"/>
    <n v="225.00000000000006"/>
    <n v="0.4"/>
  </r>
  <r>
    <x v="2"/>
    <x v="2"/>
    <x v="146"/>
    <x v="2"/>
    <s v="Wyoming"/>
    <s v="Cheyenne"/>
    <x v="5"/>
    <n v="0.4"/>
    <n v="3250"/>
    <x v="194"/>
    <n v="390"/>
    <n v="0.3"/>
  </r>
  <r>
    <x v="2"/>
    <x v="2"/>
    <x v="147"/>
    <x v="2"/>
    <s v="Wyoming"/>
    <s v="Cheyenne"/>
    <x v="0"/>
    <n v="0.4"/>
    <n v="4750"/>
    <x v="235"/>
    <n v="665"/>
    <n v="0.35"/>
  </r>
  <r>
    <x v="2"/>
    <x v="2"/>
    <x v="147"/>
    <x v="2"/>
    <s v="Wyoming"/>
    <s v="Cheyenne"/>
    <x v="1"/>
    <n v="0.5"/>
    <n v="3250"/>
    <x v="132"/>
    <n v="568.75"/>
    <n v="0.35"/>
  </r>
  <r>
    <x v="2"/>
    <x v="2"/>
    <x v="147"/>
    <x v="2"/>
    <s v="Wyoming"/>
    <s v="Cheyenne"/>
    <x v="2"/>
    <n v="0.54999999999999993"/>
    <n v="3500"/>
    <x v="237"/>
    <n v="673.74999999999989"/>
    <n v="0.35"/>
  </r>
  <r>
    <x v="2"/>
    <x v="2"/>
    <x v="147"/>
    <x v="2"/>
    <s v="Wyoming"/>
    <s v="Cheyenne"/>
    <x v="3"/>
    <n v="0.5"/>
    <n v="2500"/>
    <x v="142"/>
    <n v="437.5"/>
    <n v="0.35"/>
  </r>
  <r>
    <x v="2"/>
    <x v="2"/>
    <x v="147"/>
    <x v="2"/>
    <s v="Wyoming"/>
    <s v="Cheyenne"/>
    <x v="4"/>
    <n v="0.55000000000000004"/>
    <n v="1000"/>
    <x v="189"/>
    <n v="220"/>
    <n v="0.4"/>
  </r>
  <r>
    <x v="2"/>
    <x v="2"/>
    <x v="147"/>
    <x v="2"/>
    <s v="Wyoming"/>
    <s v="Cheyenne"/>
    <x v="5"/>
    <n v="0.5"/>
    <n v="3000"/>
    <x v="146"/>
    <n v="450"/>
    <n v="0.3"/>
  </r>
  <r>
    <x v="2"/>
    <x v="2"/>
    <x v="148"/>
    <x v="2"/>
    <s v="Wyoming"/>
    <s v="Cheyenne"/>
    <x v="0"/>
    <n v="0.55000000000000004"/>
    <n v="4750"/>
    <x v="356"/>
    <n v="914.37499999999989"/>
    <n v="0.35"/>
  </r>
  <r>
    <x v="2"/>
    <x v="2"/>
    <x v="148"/>
    <x v="2"/>
    <s v="Wyoming"/>
    <s v="Cheyenne"/>
    <x v="1"/>
    <n v="0.60000000000000009"/>
    <n v="2750"/>
    <x v="205"/>
    <n v="577.5"/>
    <n v="0.35"/>
  </r>
  <r>
    <x v="2"/>
    <x v="2"/>
    <x v="148"/>
    <x v="2"/>
    <s v="Wyoming"/>
    <s v="Cheyenne"/>
    <x v="2"/>
    <n v="0.60000000000000009"/>
    <n v="3250"/>
    <x v="470"/>
    <n v="682.5"/>
    <n v="0.35"/>
  </r>
  <r>
    <x v="2"/>
    <x v="2"/>
    <x v="148"/>
    <x v="2"/>
    <s v="Wyoming"/>
    <s v="Cheyenne"/>
    <x v="3"/>
    <n v="0.45000000000000007"/>
    <n v="2250"/>
    <x v="471"/>
    <n v="354.375"/>
    <n v="0.35"/>
  </r>
  <r>
    <x v="2"/>
    <x v="2"/>
    <x v="148"/>
    <x v="2"/>
    <s v="Wyoming"/>
    <s v="Cheyenne"/>
    <x v="4"/>
    <n v="0.50000000000000011"/>
    <n v="1250"/>
    <x v="472"/>
    <n v="250.00000000000006"/>
    <n v="0.4"/>
  </r>
  <r>
    <x v="2"/>
    <x v="2"/>
    <x v="148"/>
    <x v="2"/>
    <s v="Wyoming"/>
    <s v="Cheyenne"/>
    <x v="5"/>
    <n v="0.65000000000000013"/>
    <n v="3000"/>
    <x v="473"/>
    <n v="585.00000000000011"/>
    <n v="0.3"/>
  </r>
  <r>
    <x v="2"/>
    <x v="2"/>
    <x v="149"/>
    <x v="2"/>
    <s v="Wyoming"/>
    <s v="Cheyenne"/>
    <x v="0"/>
    <n v="0.5"/>
    <n v="5000"/>
    <x v="54"/>
    <n v="875"/>
    <n v="0.35"/>
  </r>
  <r>
    <x v="2"/>
    <x v="2"/>
    <x v="149"/>
    <x v="2"/>
    <s v="Wyoming"/>
    <s v="Cheyenne"/>
    <x v="1"/>
    <n v="0.55000000000000004"/>
    <n v="3500"/>
    <x v="136"/>
    <n v="673.75"/>
    <n v="0.35"/>
  </r>
  <r>
    <x v="2"/>
    <x v="2"/>
    <x v="149"/>
    <x v="2"/>
    <s v="Wyoming"/>
    <s v="Cheyenne"/>
    <x v="2"/>
    <n v="0.55000000000000004"/>
    <n v="3500"/>
    <x v="136"/>
    <n v="673.75"/>
    <n v="0.35"/>
  </r>
  <r>
    <x v="2"/>
    <x v="2"/>
    <x v="149"/>
    <x v="2"/>
    <s v="Wyoming"/>
    <s v="Cheyenne"/>
    <x v="3"/>
    <n v="0.5"/>
    <n v="2750"/>
    <x v="140"/>
    <n v="481.24999999999994"/>
    <n v="0.35"/>
  </r>
  <r>
    <x v="2"/>
    <x v="2"/>
    <x v="149"/>
    <x v="2"/>
    <s v="Wyoming"/>
    <s v="Cheyenne"/>
    <x v="4"/>
    <n v="0.44999999999999996"/>
    <n v="1750"/>
    <x v="474"/>
    <n v="315"/>
    <n v="0.4"/>
  </r>
  <r>
    <x v="2"/>
    <x v="2"/>
    <x v="149"/>
    <x v="2"/>
    <s v="Wyoming"/>
    <s v="Cheyenne"/>
    <x v="5"/>
    <n v="0.6"/>
    <n v="5250"/>
    <x v="40"/>
    <n v="945"/>
    <n v="0.3"/>
  </r>
  <r>
    <x v="2"/>
    <x v="2"/>
    <x v="150"/>
    <x v="2"/>
    <s v="Wyoming"/>
    <s v="Cheyenne"/>
    <x v="0"/>
    <n v="0.54999999999999993"/>
    <n v="7750"/>
    <x v="475"/>
    <n v="1491.8749999999995"/>
    <n v="0.35"/>
  </r>
  <r>
    <x v="2"/>
    <x v="2"/>
    <x v="150"/>
    <x v="2"/>
    <s v="Wyoming"/>
    <s v="Cheyenne"/>
    <x v="1"/>
    <n v="0.64999999999999991"/>
    <n v="6500"/>
    <x v="476"/>
    <n v="1478.7499999999995"/>
    <n v="0.35"/>
  </r>
  <r>
    <x v="2"/>
    <x v="2"/>
    <x v="150"/>
    <x v="2"/>
    <s v="Wyoming"/>
    <s v="Cheyenne"/>
    <x v="2"/>
    <n v="0.79999999999999993"/>
    <n v="6500"/>
    <x v="97"/>
    <n v="1819.9999999999998"/>
    <n v="0.35"/>
  </r>
  <r>
    <x v="2"/>
    <x v="2"/>
    <x v="150"/>
    <x v="2"/>
    <s v="Wyoming"/>
    <s v="Cheyenne"/>
    <x v="3"/>
    <n v="0.79999999999999993"/>
    <n v="5250"/>
    <x v="81"/>
    <n v="1470"/>
    <n v="0.35"/>
  </r>
  <r>
    <x v="2"/>
    <x v="2"/>
    <x v="150"/>
    <x v="2"/>
    <s v="Wyoming"/>
    <s v="Cheyenne"/>
    <x v="4"/>
    <n v="0.9"/>
    <n v="4000"/>
    <x v="11"/>
    <n v="1440"/>
    <n v="0.4"/>
  </r>
  <r>
    <x v="2"/>
    <x v="2"/>
    <x v="150"/>
    <x v="2"/>
    <s v="Wyoming"/>
    <s v="Cheyenne"/>
    <x v="5"/>
    <n v="1.05"/>
    <n v="7000"/>
    <x v="477"/>
    <n v="2205"/>
    <n v="0.3"/>
  </r>
  <r>
    <x v="2"/>
    <x v="2"/>
    <x v="151"/>
    <x v="2"/>
    <s v="Wyoming"/>
    <s v="Cheyenne"/>
    <x v="0"/>
    <n v="0.85"/>
    <n v="8500"/>
    <x v="478"/>
    <n v="2528.75"/>
    <n v="0.35"/>
  </r>
  <r>
    <x v="2"/>
    <x v="2"/>
    <x v="151"/>
    <x v="2"/>
    <s v="Wyoming"/>
    <s v="Cheyenne"/>
    <x v="1"/>
    <n v="0.9"/>
    <n v="7000"/>
    <x v="479"/>
    <n v="2205"/>
    <n v="0.35"/>
  </r>
  <r>
    <x v="2"/>
    <x v="2"/>
    <x v="151"/>
    <x v="2"/>
    <s v="Wyoming"/>
    <s v="Cheyenne"/>
    <x v="2"/>
    <n v="0.9"/>
    <n v="6500"/>
    <x v="38"/>
    <n v="2047.4999999999998"/>
    <n v="0.35"/>
  </r>
  <r>
    <x v="2"/>
    <x v="2"/>
    <x v="151"/>
    <x v="2"/>
    <s v="Wyoming"/>
    <s v="Cheyenne"/>
    <x v="3"/>
    <n v="0.85"/>
    <n v="5500"/>
    <x v="68"/>
    <n v="1636.25"/>
    <n v="0.35"/>
  </r>
  <r>
    <x v="2"/>
    <x v="2"/>
    <x v="151"/>
    <x v="2"/>
    <s v="Wyoming"/>
    <s v="Cheyenne"/>
    <x v="4"/>
    <n v="0.9"/>
    <n v="6000"/>
    <x v="4"/>
    <n v="2160"/>
    <n v="0.4"/>
  </r>
  <r>
    <x v="2"/>
    <x v="2"/>
    <x v="151"/>
    <x v="2"/>
    <s v="Wyoming"/>
    <s v="Cheyenne"/>
    <x v="5"/>
    <n v="1.05"/>
    <n v="6000"/>
    <x v="479"/>
    <n v="1890"/>
    <n v="0.3"/>
  </r>
  <r>
    <x v="2"/>
    <x v="2"/>
    <x v="152"/>
    <x v="2"/>
    <s v="Wyoming"/>
    <s v="Cheyenne"/>
    <x v="0"/>
    <n v="0.9"/>
    <n v="8000"/>
    <x v="28"/>
    <n v="2520"/>
    <n v="0.35"/>
  </r>
  <r>
    <x v="2"/>
    <x v="2"/>
    <x v="152"/>
    <x v="2"/>
    <s v="Wyoming"/>
    <s v="Cheyenne"/>
    <x v="1"/>
    <n v="0.8"/>
    <n v="7750"/>
    <x v="94"/>
    <n v="2170"/>
    <n v="0.35"/>
  </r>
  <r>
    <x v="2"/>
    <x v="2"/>
    <x v="152"/>
    <x v="2"/>
    <s v="Wyoming"/>
    <s v="Cheyenne"/>
    <x v="2"/>
    <n v="0.70000000000000007"/>
    <n v="6500"/>
    <x v="109"/>
    <n v="1592.5"/>
    <n v="0.35"/>
  </r>
  <r>
    <x v="2"/>
    <x v="2"/>
    <x v="152"/>
    <x v="2"/>
    <s v="Wyoming"/>
    <s v="Cheyenne"/>
    <x v="3"/>
    <n v="0.70000000000000007"/>
    <n v="4250"/>
    <x v="253"/>
    <n v="1041.25"/>
    <n v="0.35"/>
  </r>
  <r>
    <x v="2"/>
    <x v="2"/>
    <x v="152"/>
    <x v="2"/>
    <s v="Wyoming"/>
    <s v="Cheyenne"/>
    <x v="4"/>
    <n v="0.7"/>
    <n v="4250"/>
    <x v="44"/>
    <n v="1190"/>
    <n v="0.4"/>
  </r>
  <r>
    <x v="2"/>
    <x v="2"/>
    <x v="152"/>
    <x v="2"/>
    <s v="Wyoming"/>
    <s v="Cheyenne"/>
    <x v="5"/>
    <n v="0.75"/>
    <n v="2500"/>
    <x v="203"/>
    <n v="562.5"/>
    <n v="0.3"/>
  </r>
  <r>
    <x v="2"/>
    <x v="2"/>
    <x v="153"/>
    <x v="2"/>
    <s v="Wyoming"/>
    <s v="Cheyenne"/>
    <x v="0"/>
    <n v="0.50000000000000011"/>
    <n v="4500"/>
    <x v="223"/>
    <n v="787.50000000000011"/>
    <n v="0.35"/>
  </r>
  <r>
    <x v="2"/>
    <x v="2"/>
    <x v="153"/>
    <x v="2"/>
    <s v="Wyoming"/>
    <s v="Cheyenne"/>
    <x v="1"/>
    <n v="0.55000000000000016"/>
    <n v="4500"/>
    <x v="480"/>
    <n v="866.25000000000023"/>
    <n v="0.35"/>
  </r>
  <r>
    <x v="2"/>
    <x v="2"/>
    <x v="153"/>
    <x v="2"/>
    <s v="Wyoming"/>
    <s v="Cheyenne"/>
    <x v="2"/>
    <n v="0.50000000000000011"/>
    <n v="2500"/>
    <x v="396"/>
    <n v="437.50000000000006"/>
    <n v="0.35"/>
  </r>
  <r>
    <x v="2"/>
    <x v="2"/>
    <x v="153"/>
    <x v="2"/>
    <s v="Wyoming"/>
    <s v="Cheyenne"/>
    <x v="3"/>
    <n v="0.50000000000000011"/>
    <n v="2000"/>
    <x v="322"/>
    <n v="350.00000000000006"/>
    <n v="0.35"/>
  </r>
  <r>
    <x v="2"/>
    <x v="2"/>
    <x v="153"/>
    <x v="2"/>
    <s v="Wyoming"/>
    <s v="Cheyenne"/>
    <x v="4"/>
    <n v="0.60000000000000009"/>
    <n v="2250"/>
    <x v="139"/>
    <n v="540.00000000000011"/>
    <n v="0.4"/>
  </r>
  <r>
    <x v="2"/>
    <x v="2"/>
    <x v="153"/>
    <x v="2"/>
    <s v="Wyoming"/>
    <s v="Cheyenne"/>
    <x v="5"/>
    <n v="0.44999999999999996"/>
    <n v="2500"/>
    <x v="127"/>
    <n v="337.5"/>
    <n v="0.3"/>
  </r>
  <r>
    <x v="2"/>
    <x v="2"/>
    <x v="154"/>
    <x v="2"/>
    <s v="Wyoming"/>
    <s v="Cheyenne"/>
    <x v="0"/>
    <n v="0.4"/>
    <n v="3500"/>
    <x v="340"/>
    <n v="489.99999999999994"/>
    <n v="0.35"/>
  </r>
  <r>
    <x v="2"/>
    <x v="2"/>
    <x v="154"/>
    <x v="2"/>
    <s v="Wyoming"/>
    <s v="Cheyenne"/>
    <x v="1"/>
    <n v="0.55000000000000016"/>
    <n v="5250"/>
    <x v="481"/>
    <n v="1010.6250000000002"/>
    <n v="0.35"/>
  </r>
  <r>
    <x v="2"/>
    <x v="2"/>
    <x v="154"/>
    <x v="2"/>
    <s v="Wyoming"/>
    <s v="Cheyenne"/>
    <x v="2"/>
    <n v="0.50000000000000011"/>
    <n v="3500"/>
    <x v="482"/>
    <n v="612.50000000000011"/>
    <n v="0.35"/>
  </r>
  <r>
    <x v="2"/>
    <x v="2"/>
    <x v="154"/>
    <x v="2"/>
    <s v="Wyoming"/>
    <s v="Cheyenne"/>
    <x v="3"/>
    <n v="0.45000000000000007"/>
    <n v="3250"/>
    <x v="137"/>
    <n v="511.87500000000006"/>
    <n v="0.35"/>
  </r>
  <r>
    <x v="2"/>
    <x v="2"/>
    <x v="154"/>
    <x v="2"/>
    <s v="Wyoming"/>
    <s v="Cheyenne"/>
    <x v="4"/>
    <n v="0.55000000000000004"/>
    <n v="3000"/>
    <x v="205"/>
    <n v="660.00000000000011"/>
    <n v="0.4"/>
  </r>
  <r>
    <x v="2"/>
    <x v="2"/>
    <x v="154"/>
    <x v="2"/>
    <s v="Wyoming"/>
    <s v="Cheyenne"/>
    <x v="5"/>
    <n v="0.60000000000000009"/>
    <n v="3500"/>
    <x v="162"/>
    <n v="630.00000000000011"/>
    <n v="0.3"/>
  </r>
  <r>
    <x v="2"/>
    <x v="2"/>
    <x v="155"/>
    <x v="2"/>
    <s v="Wyoming"/>
    <s v="Cheyenne"/>
    <x v="0"/>
    <n v="0.45000000000000007"/>
    <n v="5750"/>
    <x v="339"/>
    <n v="905.62500000000011"/>
    <n v="0.35"/>
  </r>
  <r>
    <x v="2"/>
    <x v="2"/>
    <x v="155"/>
    <x v="2"/>
    <s v="Wyoming"/>
    <s v="Cheyenne"/>
    <x v="1"/>
    <n v="0.50000000000000011"/>
    <n v="6500"/>
    <x v="455"/>
    <n v="1137.5000000000002"/>
    <n v="0.35"/>
  </r>
  <r>
    <x v="2"/>
    <x v="2"/>
    <x v="155"/>
    <x v="2"/>
    <s v="Wyoming"/>
    <s v="Cheyenne"/>
    <x v="2"/>
    <n v="0.45000000000000007"/>
    <n v="4750"/>
    <x v="466"/>
    <n v="748.12500000000011"/>
    <n v="0.35"/>
  </r>
  <r>
    <x v="2"/>
    <x v="2"/>
    <x v="155"/>
    <x v="2"/>
    <s v="Wyoming"/>
    <s v="Cheyenne"/>
    <x v="3"/>
    <n v="0.55000000000000016"/>
    <n v="4500"/>
    <x v="480"/>
    <n v="866.25000000000023"/>
    <n v="0.35"/>
  </r>
  <r>
    <x v="2"/>
    <x v="2"/>
    <x v="155"/>
    <x v="2"/>
    <s v="Wyoming"/>
    <s v="Cheyenne"/>
    <x v="4"/>
    <n v="0.75000000000000011"/>
    <n v="4250"/>
    <x v="260"/>
    <n v="1275.0000000000002"/>
    <n v="0.4"/>
  </r>
  <r>
    <x v="2"/>
    <x v="2"/>
    <x v="155"/>
    <x v="2"/>
    <s v="Wyoming"/>
    <s v="Cheyenne"/>
    <x v="5"/>
    <n v="0.80000000000000016"/>
    <n v="5500"/>
    <x v="284"/>
    <n v="1320.0000000000002"/>
    <n v="0.3"/>
  </r>
  <r>
    <x v="2"/>
    <x v="2"/>
    <x v="156"/>
    <x v="2"/>
    <s v="Wyoming"/>
    <s v="Cheyenne"/>
    <x v="0"/>
    <n v="0.65000000000000013"/>
    <n v="7500"/>
    <x v="483"/>
    <n v="1706.2500000000002"/>
    <n v="0.35"/>
  </r>
  <r>
    <x v="2"/>
    <x v="2"/>
    <x v="156"/>
    <x v="2"/>
    <s v="Wyoming"/>
    <s v="Cheyenne"/>
    <x v="1"/>
    <n v="0.75000000000000022"/>
    <n v="7500"/>
    <x v="484"/>
    <n v="1968.7500000000005"/>
    <n v="0.35"/>
  </r>
  <r>
    <x v="2"/>
    <x v="2"/>
    <x v="156"/>
    <x v="2"/>
    <s v="Wyoming"/>
    <s v="Cheyenne"/>
    <x v="2"/>
    <n v="0.70000000000000018"/>
    <n v="5500"/>
    <x v="419"/>
    <n v="1347.5000000000002"/>
    <n v="0.35"/>
  </r>
  <r>
    <x v="2"/>
    <x v="2"/>
    <x v="156"/>
    <x v="2"/>
    <s v="Wyoming"/>
    <s v="Cheyenne"/>
    <x v="3"/>
    <n v="0.70000000000000018"/>
    <n v="5500"/>
    <x v="419"/>
    <n v="1347.5000000000002"/>
    <n v="0.35"/>
  </r>
  <r>
    <x v="2"/>
    <x v="2"/>
    <x v="156"/>
    <x v="2"/>
    <s v="Wyoming"/>
    <s v="Cheyenne"/>
    <x v="4"/>
    <n v="0.80000000000000016"/>
    <n v="4750"/>
    <x v="485"/>
    <n v="1520.0000000000005"/>
    <n v="0.4"/>
  </r>
  <r>
    <x v="2"/>
    <x v="2"/>
    <x v="156"/>
    <x v="2"/>
    <s v="Wyoming"/>
    <s v="Cheyenne"/>
    <x v="5"/>
    <n v="0.8500000000000002"/>
    <n v="5750"/>
    <x v="269"/>
    <n v="1466.2500000000002"/>
    <n v="0.3"/>
  </r>
  <r>
    <x v="0"/>
    <x v="0"/>
    <x v="157"/>
    <x v="4"/>
    <s v="Virginia"/>
    <s v="Richmond"/>
    <x v="0"/>
    <n v="0.35"/>
    <n v="7500"/>
    <x v="48"/>
    <n v="1312.5"/>
    <n v="0.5"/>
  </r>
  <r>
    <x v="0"/>
    <x v="0"/>
    <x v="157"/>
    <x v="4"/>
    <s v="Virginia"/>
    <s v="Richmond"/>
    <x v="1"/>
    <n v="0.35"/>
    <n v="5500"/>
    <x v="237"/>
    <n v="769.99999999999989"/>
    <n v="0.39999999999999997"/>
  </r>
  <r>
    <x v="0"/>
    <x v="0"/>
    <x v="157"/>
    <x v="4"/>
    <s v="Virginia"/>
    <s v="Richmond"/>
    <x v="2"/>
    <n v="0.25"/>
    <n v="5500"/>
    <x v="140"/>
    <n v="412.5"/>
    <n v="0.3"/>
  </r>
  <r>
    <x v="0"/>
    <x v="0"/>
    <x v="157"/>
    <x v="4"/>
    <s v="Virginia"/>
    <s v="Richmond"/>
    <x v="3"/>
    <n v="0.29999999999999993"/>
    <n v="4000"/>
    <x v="348"/>
    <n v="419.99999999999989"/>
    <n v="0.35"/>
  </r>
  <r>
    <x v="0"/>
    <x v="0"/>
    <x v="157"/>
    <x v="4"/>
    <s v="Virginia"/>
    <s v="Richmond"/>
    <x v="4"/>
    <n v="0.45000000000000007"/>
    <n v="4500"/>
    <x v="355"/>
    <n v="810"/>
    <n v="0.39999999999999997"/>
  </r>
  <r>
    <x v="0"/>
    <x v="0"/>
    <x v="157"/>
    <x v="4"/>
    <s v="Virginia"/>
    <s v="Richmond"/>
    <x v="5"/>
    <n v="0.35"/>
    <n v="5500"/>
    <x v="237"/>
    <n v="1058.75"/>
    <n v="0.55000000000000004"/>
  </r>
  <r>
    <x v="0"/>
    <x v="0"/>
    <x v="103"/>
    <x v="4"/>
    <s v="Virginia"/>
    <s v="Richmond"/>
    <x v="0"/>
    <n v="0.35"/>
    <n v="8000"/>
    <x v="59"/>
    <n v="1400"/>
    <n v="0.5"/>
  </r>
  <r>
    <x v="0"/>
    <x v="0"/>
    <x v="103"/>
    <x v="4"/>
    <s v="Virginia"/>
    <s v="Richmond"/>
    <x v="1"/>
    <n v="0.35"/>
    <n v="4500"/>
    <x v="151"/>
    <n v="630"/>
    <n v="0.39999999999999997"/>
  </r>
  <r>
    <x v="0"/>
    <x v="0"/>
    <x v="103"/>
    <x v="4"/>
    <s v="Virginia"/>
    <s v="Richmond"/>
    <x v="2"/>
    <n v="0.25"/>
    <n v="5000"/>
    <x v="142"/>
    <n v="375"/>
    <n v="0.3"/>
  </r>
  <r>
    <x v="0"/>
    <x v="0"/>
    <x v="103"/>
    <x v="4"/>
    <s v="Virginia"/>
    <s v="Richmond"/>
    <x v="3"/>
    <n v="0.29999999999999993"/>
    <n v="3750"/>
    <x v="486"/>
    <n v="393.74999999999989"/>
    <n v="0.35"/>
  </r>
  <r>
    <x v="0"/>
    <x v="0"/>
    <x v="103"/>
    <x v="4"/>
    <s v="Virginia"/>
    <s v="Richmond"/>
    <x v="4"/>
    <n v="0.45000000000000007"/>
    <n v="4500"/>
    <x v="355"/>
    <n v="810"/>
    <n v="0.39999999999999997"/>
  </r>
  <r>
    <x v="0"/>
    <x v="0"/>
    <x v="103"/>
    <x v="4"/>
    <s v="Virginia"/>
    <s v="Richmond"/>
    <x v="5"/>
    <n v="0.35"/>
    <n v="5500"/>
    <x v="237"/>
    <n v="1058.75"/>
    <n v="0.55000000000000004"/>
  </r>
  <r>
    <x v="0"/>
    <x v="0"/>
    <x v="158"/>
    <x v="4"/>
    <s v="Virginia"/>
    <s v="Richmond"/>
    <x v="0"/>
    <n v="0.35"/>
    <n v="7700"/>
    <x v="487"/>
    <n v="1347.5"/>
    <n v="0.5"/>
  </r>
  <r>
    <x v="0"/>
    <x v="0"/>
    <x v="158"/>
    <x v="4"/>
    <s v="Virginia"/>
    <s v="Richmond"/>
    <x v="1"/>
    <n v="0.35"/>
    <n v="4500"/>
    <x v="151"/>
    <n v="630"/>
    <n v="0.39999999999999997"/>
  </r>
  <r>
    <x v="0"/>
    <x v="0"/>
    <x v="158"/>
    <x v="4"/>
    <s v="Virginia"/>
    <s v="Richmond"/>
    <x v="2"/>
    <n v="0.25"/>
    <n v="4750"/>
    <x v="488"/>
    <n v="356.25"/>
    <n v="0.3"/>
  </r>
  <r>
    <x v="0"/>
    <x v="0"/>
    <x v="158"/>
    <x v="4"/>
    <s v="Virginia"/>
    <s v="Richmond"/>
    <x v="3"/>
    <n v="0.29999999999999993"/>
    <n v="3250"/>
    <x v="489"/>
    <n v="341.24999999999989"/>
    <n v="0.35"/>
  </r>
  <r>
    <x v="0"/>
    <x v="0"/>
    <x v="158"/>
    <x v="4"/>
    <s v="Virginia"/>
    <s v="Richmond"/>
    <x v="4"/>
    <n v="0.45000000000000007"/>
    <n v="3750"/>
    <x v="490"/>
    <n v="675"/>
    <n v="0.39999999999999997"/>
  </r>
  <r>
    <x v="0"/>
    <x v="0"/>
    <x v="158"/>
    <x v="4"/>
    <s v="Virginia"/>
    <s v="Richmond"/>
    <x v="5"/>
    <n v="0.35"/>
    <n v="4750"/>
    <x v="155"/>
    <n v="914.37500000000011"/>
    <n v="0.55000000000000004"/>
  </r>
  <r>
    <x v="0"/>
    <x v="0"/>
    <x v="159"/>
    <x v="4"/>
    <s v="Virginia"/>
    <s v="Richmond"/>
    <x v="0"/>
    <n v="0.35"/>
    <n v="7250"/>
    <x v="53"/>
    <n v="1268.75"/>
    <n v="0.5"/>
  </r>
  <r>
    <x v="0"/>
    <x v="0"/>
    <x v="159"/>
    <x v="4"/>
    <s v="Virginia"/>
    <s v="Richmond"/>
    <x v="1"/>
    <n v="0.4"/>
    <n v="4250"/>
    <x v="234"/>
    <n v="680"/>
    <n v="0.39999999999999997"/>
  </r>
  <r>
    <x v="0"/>
    <x v="0"/>
    <x v="159"/>
    <x v="4"/>
    <s v="Virginia"/>
    <s v="Richmond"/>
    <x v="2"/>
    <n v="0.30000000000000004"/>
    <n v="4500"/>
    <x v="139"/>
    <n v="405.00000000000006"/>
    <n v="0.3"/>
  </r>
  <r>
    <x v="0"/>
    <x v="0"/>
    <x v="159"/>
    <x v="4"/>
    <s v="Virginia"/>
    <s v="Richmond"/>
    <x v="3"/>
    <n v="0.35"/>
    <n v="3750"/>
    <x v="385"/>
    <n v="459.37499999999994"/>
    <n v="0.35"/>
  </r>
  <r>
    <x v="0"/>
    <x v="0"/>
    <x v="159"/>
    <x v="4"/>
    <s v="Virginia"/>
    <s v="Richmond"/>
    <x v="4"/>
    <n v="0.5"/>
    <n v="4000"/>
    <x v="47"/>
    <n v="799.99999999999989"/>
    <n v="0.39999999999999997"/>
  </r>
  <r>
    <x v="0"/>
    <x v="0"/>
    <x v="159"/>
    <x v="4"/>
    <s v="Virginia"/>
    <s v="Richmond"/>
    <x v="5"/>
    <n v="0.4"/>
    <n v="5250"/>
    <x v="193"/>
    <n v="1155"/>
    <n v="0.55000000000000004"/>
  </r>
  <r>
    <x v="0"/>
    <x v="0"/>
    <x v="160"/>
    <x v="4"/>
    <s v="Virginia"/>
    <s v="Richmond"/>
    <x v="0"/>
    <n v="0.5"/>
    <n v="7950"/>
    <x v="491"/>
    <n v="1987.5"/>
    <n v="0.5"/>
  </r>
  <r>
    <x v="0"/>
    <x v="0"/>
    <x v="160"/>
    <x v="4"/>
    <s v="Virginia"/>
    <s v="Richmond"/>
    <x v="1"/>
    <n v="0.5"/>
    <n v="5000"/>
    <x v="54"/>
    <n v="999.99999999999989"/>
    <n v="0.39999999999999997"/>
  </r>
  <r>
    <x v="0"/>
    <x v="0"/>
    <x v="160"/>
    <x v="4"/>
    <s v="Virginia"/>
    <s v="Richmond"/>
    <x v="2"/>
    <n v="0.45"/>
    <n v="4750"/>
    <x v="115"/>
    <n v="641.25"/>
    <n v="0.3"/>
  </r>
  <r>
    <x v="0"/>
    <x v="0"/>
    <x v="160"/>
    <x v="4"/>
    <s v="Virginia"/>
    <s v="Richmond"/>
    <x v="3"/>
    <n v="0.45"/>
    <n v="4500"/>
    <x v="158"/>
    <n v="708.75"/>
    <n v="0.35"/>
  </r>
  <r>
    <x v="0"/>
    <x v="0"/>
    <x v="160"/>
    <x v="4"/>
    <s v="Virginia"/>
    <s v="Richmond"/>
    <x v="4"/>
    <n v="0.54999999999999993"/>
    <n v="4750"/>
    <x v="332"/>
    <n v="1044.9999999999998"/>
    <n v="0.39999999999999997"/>
  </r>
  <r>
    <x v="0"/>
    <x v="0"/>
    <x v="160"/>
    <x v="4"/>
    <s v="Virginia"/>
    <s v="Richmond"/>
    <x v="5"/>
    <n v="0.6"/>
    <n v="5750"/>
    <x v="425"/>
    <n v="1897.5000000000002"/>
    <n v="0.55000000000000004"/>
  </r>
  <r>
    <x v="0"/>
    <x v="0"/>
    <x v="107"/>
    <x v="4"/>
    <s v="Virginia"/>
    <s v="Richmond"/>
    <x v="0"/>
    <n v="0.54999999999999993"/>
    <n v="8250"/>
    <x v="350"/>
    <n v="2268.7499999999995"/>
    <n v="0.5"/>
  </r>
  <r>
    <x v="0"/>
    <x v="0"/>
    <x v="107"/>
    <x v="4"/>
    <s v="Virginia"/>
    <s v="Richmond"/>
    <x v="1"/>
    <n v="0.5"/>
    <n v="5750"/>
    <x v="79"/>
    <n v="1150"/>
    <n v="0.39999999999999997"/>
  </r>
  <r>
    <x v="0"/>
    <x v="0"/>
    <x v="107"/>
    <x v="4"/>
    <s v="Virginia"/>
    <s v="Richmond"/>
    <x v="2"/>
    <n v="0.45"/>
    <n v="5500"/>
    <x v="111"/>
    <n v="742.5"/>
    <n v="0.3"/>
  </r>
  <r>
    <x v="0"/>
    <x v="0"/>
    <x v="107"/>
    <x v="4"/>
    <s v="Virginia"/>
    <s v="Richmond"/>
    <x v="3"/>
    <n v="0.45"/>
    <n v="5250"/>
    <x v="45"/>
    <n v="826.875"/>
    <n v="0.35"/>
  </r>
  <r>
    <x v="0"/>
    <x v="0"/>
    <x v="107"/>
    <x v="4"/>
    <s v="Virginia"/>
    <s v="Richmond"/>
    <x v="4"/>
    <n v="0.6"/>
    <n v="5250"/>
    <x v="40"/>
    <n v="1260"/>
    <n v="0.39999999999999997"/>
  </r>
  <r>
    <x v="0"/>
    <x v="0"/>
    <x v="107"/>
    <x v="4"/>
    <s v="Virginia"/>
    <s v="Richmond"/>
    <x v="5"/>
    <n v="0.65"/>
    <n v="6750"/>
    <x v="83"/>
    <n v="2413.125"/>
    <n v="0.55000000000000004"/>
  </r>
  <r>
    <x v="0"/>
    <x v="0"/>
    <x v="161"/>
    <x v="4"/>
    <s v="Virginia"/>
    <s v="Richmond"/>
    <x v="0"/>
    <n v="0.6"/>
    <n v="9000"/>
    <x v="4"/>
    <n v="2700"/>
    <n v="0.5"/>
  </r>
  <r>
    <x v="0"/>
    <x v="0"/>
    <x v="161"/>
    <x v="4"/>
    <s v="Virginia"/>
    <s v="Richmond"/>
    <x v="1"/>
    <n v="0.55000000000000004"/>
    <n v="6500"/>
    <x v="465"/>
    <n v="1430"/>
    <n v="0.39999999999999997"/>
  </r>
  <r>
    <x v="0"/>
    <x v="0"/>
    <x v="161"/>
    <x v="4"/>
    <s v="Virginia"/>
    <s v="Richmond"/>
    <x v="2"/>
    <n v="0.5"/>
    <n v="5750"/>
    <x v="79"/>
    <n v="862.5"/>
    <n v="0.3"/>
  </r>
  <r>
    <x v="0"/>
    <x v="0"/>
    <x v="161"/>
    <x v="4"/>
    <s v="Virginia"/>
    <s v="Richmond"/>
    <x v="3"/>
    <n v="0.5"/>
    <n v="5250"/>
    <x v="48"/>
    <n v="918.74999999999989"/>
    <n v="0.35"/>
  </r>
  <r>
    <x v="0"/>
    <x v="0"/>
    <x v="161"/>
    <x v="4"/>
    <s v="Virginia"/>
    <s v="Richmond"/>
    <x v="4"/>
    <n v="0.6"/>
    <n v="5500"/>
    <x v="211"/>
    <n v="1320"/>
    <n v="0.39999999999999997"/>
  </r>
  <r>
    <x v="0"/>
    <x v="0"/>
    <x v="161"/>
    <x v="4"/>
    <s v="Virginia"/>
    <s v="Richmond"/>
    <x v="5"/>
    <n v="0.65"/>
    <n v="7250"/>
    <x v="84"/>
    <n v="2591.875"/>
    <n v="0.55000000000000004"/>
  </r>
  <r>
    <x v="0"/>
    <x v="0"/>
    <x v="162"/>
    <x v="4"/>
    <s v="Virginia"/>
    <s v="Richmond"/>
    <x v="0"/>
    <n v="0.6"/>
    <n v="8750"/>
    <x v="18"/>
    <n v="2625"/>
    <n v="0.5"/>
  </r>
  <r>
    <x v="0"/>
    <x v="0"/>
    <x v="162"/>
    <x v="4"/>
    <s v="Virginia"/>
    <s v="Richmond"/>
    <x v="1"/>
    <n v="0.55000000000000004"/>
    <n v="6500"/>
    <x v="465"/>
    <n v="1430"/>
    <n v="0.39999999999999997"/>
  </r>
  <r>
    <x v="0"/>
    <x v="0"/>
    <x v="162"/>
    <x v="4"/>
    <s v="Virginia"/>
    <s v="Richmond"/>
    <x v="2"/>
    <n v="0.45000000000000007"/>
    <n v="5750"/>
    <x v="339"/>
    <n v="776.25000000000011"/>
    <n v="0.3"/>
  </r>
  <r>
    <x v="0"/>
    <x v="0"/>
    <x v="162"/>
    <x v="4"/>
    <s v="Virginia"/>
    <s v="Richmond"/>
    <x v="3"/>
    <n v="0.35"/>
    <n v="5250"/>
    <x v="152"/>
    <n v="643.12499999999989"/>
    <n v="0.35"/>
  </r>
  <r>
    <x v="0"/>
    <x v="0"/>
    <x v="162"/>
    <x v="4"/>
    <s v="Virginia"/>
    <s v="Richmond"/>
    <x v="4"/>
    <n v="0.45000000000000007"/>
    <n v="5000"/>
    <x v="223"/>
    <n v="900.00000000000011"/>
    <n v="0.39999999999999997"/>
  </r>
  <r>
    <x v="0"/>
    <x v="0"/>
    <x v="162"/>
    <x v="4"/>
    <s v="Virginia"/>
    <s v="Richmond"/>
    <x v="5"/>
    <n v="0.50000000000000011"/>
    <n v="6750"/>
    <x v="492"/>
    <n v="1856.2500000000007"/>
    <n v="0.55000000000000004"/>
  </r>
  <r>
    <x v="0"/>
    <x v="0"/>
    <x v="163"/>
    <x v="4"/>
    <s v="Virginia"/>
    <s v="Richmond"/>
    <x v="0"/>
    <n v="0.45000000000000007"/>
    <n v="8000"/>
    <x v="215"/>
    <n v="1800.0000000000002"/>
    <n v="0.5"/>
  </r>
  <r>
    <x v="0"/>
    <x v="0"/>
    <x v="163"/>
    <x v="4"/>
    <s v="Virginia"/>
    <s v="Richmond"/>
    <x v="1"/>
    <n v="0.40000000000000013"/>
    <n v="6000"/>
    <x v="493"/>
    <n v="960.00000000000023"/>
    <n v="0.39999999999999997"/>
  </r>
  <r>
    <x v="0"/>
    <x v="0"/>
    <x v="163"/>
    <x v="4"/>
    <s v="Virginia"/>
    <s v="Richmond"/>
    <x v="2"/>
    <n v="0.35"/>
    <n v="5000"/>
    <x v="157"/>
    <n v="525"/>
    <n v="0.3"/>
  </r>
  <r>
    <x v="0"/>
    <x v="0"/>
    <x v="163"/>
    <x v="4"/>
    <s v="Virginia"/>
    <s v="Richmond"/>
    <x v="3"/>
    <n v="0.35"/>
    <n v="4750"/>
    <x v="155"/>
    <n v="581.875"/>
    <n v="0.35"/>
  </r>
  <r>
    <x v="0"/>
    <x v="0"/>
    <x v="163"/>
    <x v="4"/>
    <s v="Virginia"/>
    <s v="Richmond"/>
    <x v="4"/>
    <n v="0.45000000000000007"/>
    <n v="4750"/>
    <x v="466"/>
    <n v="855.00000000000011"/>
    <n v="0.39999999999999997"/>
  </r>
  <r>
    <x v="0"/>
    <x v="0"/>
    <x v="163"/>
    <x v="4"/>
    <s v="Virginia"/>
    <s v="Richmond"/>
    <x v="5"/>
    <n v="0.50000000000000011"/>
    <n v="5750"/>
    <x v="460"/>
    <n v="1581.2500000000005"/>
    <n v="0.55000000000000004"/>
  </r>
  <r>
    <x v="0"/>
    <x v="0"/>
    <x v="111"/>
    <x v="4"/>
    <s v="Virginia"/>
    <s v="Richmond"/>
    <x v="0"/>
    <n v="0.50000000000000011"/>
    <n v="7500"/>
    <x v="494"/>
    <n v="1875.0000000000005"/>
    <n v="0.5"/>
  </r>
  <r>
    <x v="0"/>
    <x v="0"/>
    <x v="111"/>
    <x v="4"/>
    <s v="Virginia"/>
    <s v="Richmond"/>
    <x v="1"/>
    <n v="0.40000000000000013"/>
    <n v="5750"/>
    <x v="495"/>
    <n v="920.00000000000034"/>
    <n v="0.39999999999999997"/>
  </r>
  <r>
    <x v="0"/>
    <x v="0"/>
    <x v="111"/>
    <x v="4"/>
    <s v="Virginia"/>
    <s v="Richmond"/>
    <x v="2"/>
    <n v="0.40000000000000013"/>
    <n v="4250"/>
    <x v="496"/>
    <n v="510.00000000000011"/>
    <n v="0.3"/>
  </r>
  <r>
    <x v="0"/>
    <x v="0"/>
    <x v="111"/>
    <x v="4"/>
    <s v="Virginia"/>
    <s v="Richmond"/>
    <x v="3"/>
    <n v="0.40000000000000013"/>
    <n v="4000"/>
    <x v="497"/>
    <n v="560.00000000000011"/>
    <n v="0.35"/>
  </r>
  <r>
    <x v="0"/>
    <x v="0"/>
    <x v="111"/>
    <x v="4"/>
    <s v="Virginia"/>
    <s v="Richmond"/>
    <x v="4"/>
    <n v="0.50000000000000011"/>
    <n v="4000"/>
    <x v="498"/>
    <n v="800.00000000000011"/>
    <n v="0.39999999999999997"/>
  </r>
  <r>
    <x v="0"/>
    <x v="0"/>
    <x v="111"/>
    <x v="4"/>
    <s v="Virginia"/>
    <s v="Richmond"/>
    <x v="5"/>
    <n v="0.55000000000000004"/>
    <n v="5250"/>
    <x v="170"/>
    <n v="1588.1250000000005"/>
    <n v="0.55000000000000004"/>
  </r>
  <r>
    <x v="0"/>
    <x v="0"/>
    <x v="164"/>
    <x v="4"/>
    <s v="Virginia"/>
    <s v="Richmond"/>
    <x v="0"/>
    <n v="0.50000000000000011"/>
    <n v="6750"/>
    <x v="492"/>
    <n v="1687.5000000000005"/>
    <n v="0.5"/>
  </r>
  <r>
    <x v="0"/>
    <x v="0"/>
    <x v="164"/>
    <x v="4"/>
    <s v="Virginia"/>
    <s v="Richmond"/>
    <x v="1"/>
    <n v="0.45000000000000012"/>
    <n v="5000"/>
    <x v="223"/>
    <n v="900.00000000000011"/>
    <n v="0.39999999999999997"/>
  </r>
  <r>
    <x v="0"/>
    <x v="0"/>
    <x v="164"/>
    <x v="4"/>
    <s v="Virginia"/>
    <s v="Richmond"/>
    <x v="2"/>
    <n v="0.45000000000000012"/>
    <n v="4450"/>
    <x v="499"/>
    <n v="600.75000000000011"/>
    <n v="0.3"/>
  </r>
  <r>
    <x v="0"/>
    <x v="0"/>
    <x v="164"/>
    <x v="4"/>
    <s v="Virginia"/>
    <s v="Richmond"/>
    <x v="3"/>
    <n v="0.45000000000000012"/>
    <n v="4750"/>
    <x v="466"/>
    <n v="748.12500000000011"/>
    <n v="0.35"/>
  </r>
  <r>
    <x v="0"/>
    <x v="0"/>
    <x v="164"/>
    <x v="4"/>
    <s v="Virginia"/>
    <s v="Richmond"/>
    <x v="4"/>
    <n v="0.6"/>
    <n v="4500"/>
    <x v="52"/>
    <n v="1080"/>
    <n v="0.39999999999999997"/>
  </r>
  <r>
    <x v="0"/>
    <x v="0"/>
    <x v="164"/>
    <x v="4"/>
    <s v="Virginia"/>
    <s v="Richmond"/>
    <x v="5"/>
    <n v="0.64999999999999991"/>
    <n v="6250"/>
    <x v="500"/>
    <n v="2234.375"/>
    <n v="0.55000000000000004"/>
  </r>
  <r>
    <x v="0"/>
    <x v="0"/>
    <x v="165"/>
    <x v="4"/>
    <s v="Virginia"/>
    <s v="Richmond"/>
    <x v="0"/>
    <n v="0.6"/>
    <n v="8500"/>
    <x v="12"/>
    <n v="2550"/>
    <n v="0.5"/>
  </r>
  <r>
    <x v="0"/>
    <x v="0"/>
    <x v="165"/>
    <x v="4"/>
    <s v="Virginia"/>
    <s v="Richmond"/>
    <x v="1"/>
    <n v="0.5"/>
    <n v="6500"/>
    <x v="82"/>
    <n v="1300"/>
    <n v="0.39999999999999997"/>
  </r>
  <r>
    <x v="0"/>
    <x v="0"/>
    <x v="165"/>
    <x v="4"/>
    <s v="Virginia"/>
    <s v="Richmond"/>
    <x v="2"/>
    <n v="0.5"/>
    <n v="6000"/>
    <x v="61"/>
    <n v="900"/>
    <n v="0.3"/>
  </r>
  <r>
    <x v="0"/>
    <x v="0"/>
    <x v="165"/>
    <x v="4"/>
    <s v="Virginia"/>
    <s v="Richmond"/>
    <x v="3"/>
    <n v="0.5"/>
    <n v="5500"/>
    <x v="80"/>
    <n v="962.49999999999989"/>
    <n v="0.35"/>
  </r>
  <r>
    <x v="0"/>
    <x v="0"/>
    <x v="165"/>
    <x v="4"/>
    <s v="Virginia"/>
    <s v="Richmond"/>
    <x v="4"/>
    <n v="0.6"/>
    <n v="5500"/>
    <x v="211"/>
    <n v="1320"/>
    <n v="0.39999999999999997"/>
  </r>
  <r>
    <x v="0"/>
    <x v="0"/>
    <x v="165"/>
    <x v="4"/>
    <s v="Virginia"/>
    <s v="Richmond"/>
    <x v="5"/>
    <n v="0.64999999999999991"/>
    <n v="6500"/>
    <x v="476"/>
    <n v="2323.7499999999995"/>
    <n v="0.55000000000000004"/>
  </r>
  <r>
    <x v="0"/>
    <x v="0"/>
    <x v="166"/>
    <x v="3"/>
    <s v="Michigan"/>
    <s v="Detroit"/>
    <x v="0"/>
    <n v="0.3"/>
    <n v="6250"/>
    <x v="203"/>
    <n v="750"/>
    <n v="0.4"/>
  </r>
  <r>
    <x v="0"/>
    <x v="0"/>
    <x v="166"/>
    <x v="3"/>
    <s v="Michigan"/>
    <s v="Detroit"/>
    <x v="1"/>
    <n v="0.3"/>
    <n v="4250"/>
    <x v="233"/>
    <n v="446.25"/>
    <n v="0.35"/>
  </r>
  <r>
    <x v="0"/>
    <x v="0"/>
    <x v="166"/>
    <x v="3"/>
    <s v="Michigan"/>
    <s v="Detroit"/>
    <x v="2"/>
    <n v="0.2"/>
    <n v="4250"/>
    <x v="501"/>
    <n v="297.5"/>
    <n v="0.35"/>
  </r>
  <r>
    <x v="0"/>
    <x v="0"/>
    <x v="166"/>
    <x v="3"/>
    <s v="Michigan"/>
    <s v="Detroit"/>
    <x v="3"/>
    <n v="0.25000000000000006"/>
    <n v="2750"/>
    <x v="502"/>
    <n v="275.00000000000006"/>
    <n v="0.4"/>
  </r>
  <r>
    <x v="0"/>
    <x v="0"/>
    <x v="166"/>
    <x v="3"/>
    <s v="Michigan"/>
    <s v="Detroit"/>
    <x v="4"/>
    <n v="0.39999999999999997"/>
    <n v="3250"/>
    <x v="194"/>
    <n v="454.99999999999994"/>
    <n v="0.35"/>
  </r>
  <r>
    <x v="0"/>
    <x v="0"/>
    <x v="166"/>
    <x v="3"/>
    <s v="Michigan"/>
    <s v="Detroit"/>
    <x v="5"/>
    <n v="0.3"/>
    <n v="4250"/>
    <x v="233"/>
    <n v="637.5"/>
    <n v="0.5"/>
  </r>
  <r>
    <x v="0"/>
    <x v="0"/>
    <x v="167"/>
    <x v="3"/>
    <s v="Michigan"/>
    <s v="Detroit"/>
    <x v="0"/>
    <n v="0.3"/>
    <n v="6750"/>
    <x v="158"/>
    <n v="810"/>
    <n v="0.4"/>
  </r>
  <r>
    <x v="0"/>
    <x v="0"/>
    <x v="167"/>
    <x v="3"/>
    <s v="Michigan"/>
    <s v="Detroit"/>
    <x v="1"/>
    <n v="0.3"/>
    <n v="3250"/>
    <x v="145"/>
    <n v="341.25"/>
    <n v="0.35"/>
  </r>
  <r>
    <x v="0"/>
    <x v="0"/>
    <x v="167"/>
    <x v="3"/>
    <s v="Michigan"/>
    <s v="Detroit"/>
    <x v="2"/>
    <n v="0.2"/>
    <n v="3750"/>
    <x v="126"/>
    <n v="262.5"/>
    <n v="0.35"/>
  </r>
  <r>
    <x v="0"/>
    <x v="0"/>
    <x v="167"/>
    <x v="3"/>
    <s v="Michigan"/>
    <s v="Detroit"/>
    <x v="3"/>
    <n v="0.25000000000000006"/>
    <n v="2500"/>
    <x v="472"/>
    <n v="250.00000000000006"/>
    <n v="0.4"/>
  </r>
  <r>
    <x v="0"/>
    <x v="0"/>
    <x v="167"/>
    <x v="3"/>
    <s v="Michigan"/>
    <s v="Detroit"/>
    <x v="4"/>
    <n v="0.39999999999999997"/>
    <n v="3250"/>
    <x v="194"/>
    <n v="454.99999999999994"/>
    <n v="0.35"/>
  </r>
  <r>
    <x v="0"/>
    <x v="0"/>
    <x v="167"/>
    <x v="3"/>
    <s v="Michigan"/>
    <s v="Detroit"/>
    <x v="5"/>
    <n v="0.3"/>
    <n v="4000"/>
    <x v="147"/>
    <n v="600"/>
    <n v="0.5"/>
  </r>
  <r>
    <x v="0"/>
    <x v="0"/>
    <x v="126"/>
    <x v="3"/>
    <s v="Michigan"/>
    <s v="Detroit"/>
    <x v="0"/>
    <n v="0.35000000000000003"/>
    <n v="6200"/>
    <x v="503"/>
    <n v="868"/>
    <n v="0.4"/>
  </r>
  <r>
    <x v="0"/>
    <x v="0"/>
    <x v="126"/>
    <x v="3"/>
    <s v="Michigan"/>
    <s v="Detroit"/>
    <x v="1"/>
    <n v="0.35000000000000003"/>
    <n v="3000"/>
    <x v="202"/>
    <n v="367.5"/>
    <n v="0.35"/>
  </r>
  <r>
    <x v="0"/>
    <x v="0"/>
    <x v="126"/>
    <x v="3"/>
    <s v="Michigan"/>
    <s v="Detroit"/>
    <x v="2"/>
    <n v="0.25000000000000006"/>
    <n v="3500"/>
    <x v="504"/>
    <n v="306.25000000000006"/>
    <n v="0.35"/>
  </r>
  <r>
    <x v="0"/>
    <x v="0"/>
    <x v="126"/>
    <x v="3"/>
    <s v="Michigan"/>
    <s v="Detroit"/>
    <x v="3"/>
    <n v="0.3"/>
    <n v="2000"/>
    <x v="128"/>
    <n v="240"/>
    <n v="0.4"/>
  </r>
  <r>
    <x v="0"/>
    <x v="0"/>
    <x v="126"/>
    <x v="3"/>
    <s v="Michigan"/>
    <s v="Detroit"/>
    <x v="4"/>
    <n v="0.45"/>
    <n v="2500"/>
    <x v="127"/>
    <n v="393.75"/>
    <n v="0.35"/>
  </r>
  <r>
    <x v="0"/>
    <x v="0"/>
    <x v="126"/>
    <x v="3"/>
    <s v="Michigan"/>
    <s v="Detroit"/>
    <x v="5"/>
    <n v="0.35000000000000003"/>
    <n v="3500"/>
    <x v="206"/>
    <n v="612.50000000000011"/>
    <n v="0.5"/>
  </r>
  <r>
    <x v="0"/>
    <x v="0"/>
    <x v="127"/>
    <x v="3"/>
    <s v="Michigan"/>
    <s v="Detroit"/>
    <x v="0"/>
    <n v="0.35000000000000003"/>
    <n v="5750"/>
    <x v="354"/>
    <n v="805.00000000000011"/>
    <n v="0.4"/>
  </r>
  <r>
    <x v="0"/>
    <x v="0"/>
    <x v="127"/>
    <x v="3"/>
    <s v="Michigan"/>
    <s v="Detroit"/>
    <x v="1"/>
    <n v="0.30000000000000004"/>
    <n v="2750"/>
    <x v="188"/>
    <n v="288.75"/>
    <n v="0.35"/>
  </r>
  <r>
    <x v="0"/>
    <x v="0"/>
    <x v="127"/>
    <x v="3"/>
    <s v="Michigan"/>
    <s v="Detroit"/>
    <x v="2"/>
    <n v="0.20000000000000007"/>
    <n v="2750"/>
    <x v="505"/>
    <n v="192.50000000000006"/>
    <n v="0.35"/>
  </r>
  <r>
    <x v="0"/>
    <x v="0"/>
    <x v="127"/>
    <x v="3"/>
    <s v="Michigan"/>
    <s v="Detroit"/>
    <x v="3"/>
    <n v="0.25"/>
    <n v="2000"/>
    <x v="118"/>
    <n v="200"/>
    <n v="0.4"/>
  </r>
  <r>
    <x v="0"/>
    <x v="0"/>
    <x v="127"/>
    <x v="3"/>
    <s v="Michigan"/>
    <s v="Detroit"/>
    <x v="4"/>
    <n v="0.4"/>
    <n v="2250"/>
    <x v="124"/>
    <n v="315"/>
    <n v="0.35"/>
  </r>
  <r>
    <x v="0"/>
    <x v="0"/>
    <x v="127"/>
    <x v="3"/>
    <s v="Michigan"/>
    <s v="Detroit"/>
    <x v="5"/>
    <n v="0.30000000000000004"/>
    <n v="3500"/>
    <x v="187"/>
    <n v="525.00000000000011"/>
    <n v="0.5"/>
  </r>
  <r>
    <x v="0"/>
    <x v="0"/>
    <x v="168"/>
    <x v="3"/>
    <s v="Michigan"/>
    <s v="Detroit"/>
    <x v="0"/>
    <n v="0.4"/>
    <n v="6200"/>
    <x v="506"/>
    <n v="992"/>
    <n v="0.4"/>
  </r>
  <r>
    <x v="0"/>
    <x v="0"/>
    <x v="168"/>
    <x v="3"/>
    <s v="Michigan"/>
    <s v="Detroit"/>
    <x v="1"/>
    <n v="0.35000000000000009"/>
    <n v="3250"/>
    <x v="507"/>
    <n v="398.12500000000006"/>
    <n v="0.35"/>
  </r>
  <r>
    <x v="0"/>
    <x v="0"/>
    <x v="168"/>
    <x v="3"/>
    <s v="Michigan"/>
    <s v="Detroit"/>
    <x v="2"/>
    <n v="0.30000000000000004"/>
    <n v="3000"/>
    <x v="395"/>
    <n v="315"/>
    <n v="0.35"/>
  </r>
  <r>
    <x v="0"/>
    <x v="0"/>
    <x v="168"/>
    <x v="3"/>
    <s v="Michigan"/>
    <s v="Detroit"/>
    <x v="3"/>
    <n v="0.30000000000000004"/>
    <n v="2250"/>
    <x v="318"/>
    <n v="270.00000000000006"/>
    <n v="0.4"/>
  </r>
  <r>
    <x v="0"/>
    <x v="0"/>
    <x v="168"/>
    <x v="3"/>
    <s v="Michigan"/>
    <s v="Detroit"/>
    <x v="4"/>
    <n v="0.44999999999999996"/>
    <n v="2500"/>
    <x v="127"/>
    <n v="393.75"/>
    <n v="0.35"/>
  </r>
  <r>
    <x v="0"/>
    <x v="0"/>
    <x v="168"/>
    <x v="3"/>
    <s v="Michigan"/>
    <s v="Detroit"/>
    <x v="5"/>
    <n v="0.49999999999999994"/>
    <n v="3500"/>
    <x v="508"/>
    <n v="874.99999999999989"/>
    <n v="0.5"/>
  </r>
  <r>
    <x v="0"/>
    <x v="0"/>
    <x v="169"/>
    <x v="3"/>
    <s v="Michigan"/>
    <s v="Detroit"/>
    <x v="0"/>
    <n v="0.35000000000000003"/>
    <n v="6000"/>
    <x v="193"/>
    <n v="840"/>
    <n v="0.4"/>
  </r>
  <r>
    <x v="0"/>
    <x v="0"/>
    <x v="169"/>
    <x v="3"/>
    <s v="Michigan"/>
    <s v="Detroit"/>
    <x v="1"/>
    <n v="0.3000000000000001"/>
    <n v="3500"/>
    <x v="509"/>
    <n v="367.50000000000011"/>
    <n v="0.35"/>
  </r>
  <r>
    <x v="0"/>
    <x v="0"/>
    <x v="169"/>
    <x v="3"/>
    <s v="Michigan"/>
    <s v="Detroit"/>
    <x v="2"/>
    <n v="0.25000000000000006"/>
    <n v="3750"/>
    <x v="510"/>
    <n v="328.12500000000006"/>
    <n v="0.35"/>
  </r>
  <r>
    <x v="0"/>
    <x v="0"/>
    <x v="169"/>
    <x v="3"/>
    <s v="Michigan"/>
    <s v="Detroit"/>
    <x v="3"/>
    <n v="0.25000000000000006"/>
    <n v="3500"/>
    <x v="504"/>
    <n v="350.00000000000011"/>
    <n v="0.4"/>
  </r>
  <r>
    <x v="0"/>
    <x v="0"/>
    <x v="169"/>
    <x v="3"/>
    <s v="Michigan"/>
    <s v="Detroit"/>
    <x v="4"/>
    <n v="0.4"/>
    <n v="3500"/>
    <x v="340"/>
    <n v="489.99999999999994"/>
    <n v="0.35"/>
  </r>
  <r>
    <x v="0"/>
    <x v="0"/>
    <x v="169"/>
    <x v="3"/>
    <s v="Michigan"/>
    <s v="Detroit"/>
    <x v="5"/>
    <n v="0.45"/>
    <n v="5250"/>
    <x v="45"/>
    <n v="1181.25"/>
    <n v="0.5"/>
  </r>
  <r>
    <x v="0"/>
    <x v="0"/>
    <x v="130"/>
    <x v="3"/>
    <s v="Michigan"/>
    <s v="Detroit"/>
    <x v="0"/>
    <n v="0.4"/>
    <n v="7500"/>
    <x v="61"/>
    <n v="1200"/>
    <n v="0.4"/>
  </r>
  <r>
    <x v="0"/>
    <x v="0"/>
    <x v="130"/>
    <x v="3"/>
    <s v="Michigan"/>
    <s v="Detroit"/>
    <x v="1"/>
    <n v="0.35000000000000009"/>
    <n v="5000"/>
    <x v="482"/>
    <n v="612.50000000000011"/>
    <n v="0.35"/>
  </r>
  <r>
    <x v="0"/>
    <x v="0"/>
    <x v="130"/>
    <x v="3"/>
    <s v="Michigan"/>
    <s v="Detroit"/>
    <x v="2"/>
    <n v="0.30000000000000004"/>
    <n v="4250"/>
    <x v="164"/>
    <n v="446.25000000000006"/>
    <n v="0.35"/>
  </r>
  <r>
    <x v="0"/>
    <x v="0"/>
    <x v="130"/>
    <x v="3"/>
    <s v="Michigan"/>
    <s v="Detroit"/>
    <x v="3"/>
    <n v="0.30000000000000004"/>
    <n v="3750"/>
    <x v="133"/>
    <n v="450.00000000000011"/>
    <n v="0.4"/>
  </r>
  <r>
    <x v="0"/>
    <x v="0"/>
    <x v="130"/>
    <x v="3"/>
    <s v="Michigan"/>
    <s v="Detroit"/>
    <x v="4"/>
    <n v="0.4"/>
    <n v="3750"/>
    <x v="146"/>
    <n v="525"/>
    <n v="0.35"/>
  </r>
  <r>
    <x v="0"/>
    <x v="0"/>
    <x v="130"/>
    <x v="3"/>
    <s v="Michigan"/>
    <s v="Detroit"/>
    <x v="5"/>
    <n v="0.45"/>
    <n v="5500"/>
    <x v="111"/>
    <n v="1237.5"/>
    <n v="0.5"/>
  </r>
  <r>
    <x v="0"/>
    <x v="0"/>
    <x v="131"/>
    <x v="3"/>
    <s v="Michigan"/>
    <s v="Detroit"/>
    <x v="0"/>
    <n v="0.4"/>
    <n v="7000"/>
    <x v="59"/>
    <n v="1120"/>
    <n v="0.4"/>
  </r>
  <r>
    <x v="0"/>
    <x v="0"/>
    <x v="131"/>
    <x v="3"/>
    <s v="Michigan"/>
    <s v="Detroit"/>
    <x v="1"/>
    <n v="0.40000000000000008"/>
    <n v="4750"/>
    <x v="511"/>
    <n v="665.00000000000011"/>
    <n v="0.35"/>
  </r>
  <r>
    <x v="0"/>
    <x v="0"/>
    <x v="131"/>
    <x v="3"/>
    <s v="Michigan"/>
    <s v="Detroit"/>
    <x v="2"/>
    <n v="0.35000000000000003"/>
    <n v="4000"/>
    <x v="159"/>
    <n v="490.00000000000006"/>
    <n v="0.35"/>
  </r>
  <r>
    <x v="0"/>
    <x v="0"/>
    <x v="131"/>
    <x v="3"/>
    <s v="Michigan"/>
    <s v="Detroit"/>
    <x v="3"/>
    <n v="0.25000000000000006"/>
    <n v="3250"/>
    <x v="512"/>
    <n v="325.00000000000011"/>
    <n v="0.4"/>
  </r>
  <r>
    <x v="0"/>
    <x v="0"/>
    <x v="131"/>
    <x v="3"/>
    <s v="Michigan"/>
    <s v="Detroit"/>
    <x v="4"/>
    <n v="0.35000000000000003"/>
    <n v="3000"/>
    <x v="202"/>
    <n v="367.5"/>
    <n v="0.35"/>
  </r>
  <r>
    <x v="0"/>
    <x v="0"/>
    <x v="131"/>
    <x v="3"/>
    <s v="Michigan"/>
    <s v="Detroit"/>
    <x v="5"/>
    <n v="0.4"/>
    <n v="4750"/>
    <x v="235"/>
    <n v="950"/>
    <n v="0.5"/>
  </r>
  <r>
    <x v="0"/>
    <x v="0"/>
    <x v="170"/>
    <x v="3"/>
    <s v="Michigan"/>
    <s v="Detroit"/>
    <x v="0"/>
    <n v="0.35000000000000003"/>
    <n v="6000"/>
    <x v="193"/>
    <n v="840"/>
    <n v="0.4"/>
  </r>
  <r>
    <x v="0"/>
    <x v="0"/>
    <x v="170"/>
    <x v="3"/>
    <s v="Michigan"/>
    <s v="Detroit"/>
    <x v="1"/>
    <n v="0.3000000000000001"/>
    <n v="4000"/>
    <x v="513"/>
    <n v="420.00000000000011"/>
    <n v="0.35"/>
  </r>
  <r>
    <x v="0"/>
    <x v="0"/>
    <x v="170"/>
    <x v="3"/>
    <s v="Michigan"/>
    <s v="Detroit"/>
    <x v="2"/>
    <n v="0.15000000000000002"/>
    <n v="3000"/>
    <x v="362"/>
    <n v="157.5"/>
    <n v="0.35"/>
  </r>
  <r>
    <x v="0"/>
    <x v="0"/>
    <x v="170"/>
    <x v="3"/>
    <s v="Michigan"/>
    <s v="Detroit"/>
    <x v="3"/>
    <n v="0.15000000000000002"/>
    <n v="2750"/>
    <x v="514"/>
    <n v="165.00000000000003"/>
    <n v="0.4"/>
  </r>
  <r>
    <x v="0"/>
    <x v="0"/>
    <x v="170"/>
    <x v="3"/>
    <s v="Michigan"/>
    <s v="Detroit"/>
    <x v="4"/>
    <n v="0.25"/>
    <n v="2750"/>
    <x v="389"/>
    <n v="240.62499999999997"/>
    <n v="0.35"/>
  </r>
  <r>
    <x v="0"/>
    <x v="0"/>
    <x v="170"/>
    <x v="3"/>
    <s v="Michigan"/>
    <s v="Detroit"/>
    <x v="5"/>
    <n v="0.30000000000000004"/>
    <n v="3500"/>
    <x v="187"/>
    <n v="525.00000000000011"/>
    <n v="0.5"/>
  </r>
  <r>
    <x v="0"/>
    <x v="0"/>
    <x v="171"/>
    <x v="3"/>
    <s v="Michigan"/>
    <s v="Detroit"/>
    <x v="0"/>
    <n v="0.35"/>
    <n v="5250"/>
    <x v="152"/>
    <n v="735"/>
    <n v="0.4"/>
  </r>
  <r>
    <x v="0"/>
    <x v="0"/>
    <x v="171"/>
    <x v="3"/>
    <s v="Michigan"/>
    <s v="Detroit"/>
    <x v="1"/>
    <n v="0.25"/>
    <n v="3500"/>
    <x v="131"/>
    <n v="306.25"/>
    <n v="0.35"/>
  </r>
  <r>
    <x v="0"/>
    <x v="0"/>
    <x v="171"/>
    <x v="3"/>
    <s v="Michigan"/>
    <s v="Detroit"/>
    <x v="2"/>
    <n v="0.25"/>
    <n v="2500"/>
    <x v="143"/>
    <n v="218.75"/>
    <n v="0.35"/>
  </r>
  <r>
    <x v="0"/>
    <x v="0"/>
    <x v="171"/>
    <x v="3"/>
    <s v="Michigan"/>
    <s v="Detroit"/>
    <x v="3"/>
    <n v="0.25"/>
    <n v="2250"/>
    <x v="180"/>
    <n v="225"/>
    <n v="0.4"/>
  </r>
  <r>
    <x v="0"/>
    <x v="0"/>
    <x v="171"/>
    <x v="3"/>
    <s v="Michigan"/>
    <s v="Detroit"/>
    <x v="4"/>
    <n v="0.35"/>
    <n v="2250"/>
    <x v="120"/>
    <n v="275.625"/>
    <n v="0.35"/>
  </r>
  <r>
    <x v="0"/>
    <x v="0"/>
    <x v="171"/>
    <x v="3"/>
    <s v="Michigan"/>
    <s v="Detroit"/>
    <x v="5"/>
    <n v="0.39999999999999991"/>
    <n v="3500"/>
    <x v="161"/>
    <n v="699.99999999999989"/>
    <n v="0.5"/>
  </r>
  <r>
    <x v="0"/>
    <x v="0"/>
    <x v="134"/>
    <x v="3"/>
    <s v="Michigan"/>
    <s v="Detroit"/>
    <x v="0"/>
    <n v="0.35000000000000003"/>
    <n v="5000"/>
    <x v="191"/>
    <n v="700.00000000000011"/>
    <n v="0.4"/>
  </r>
  <r>
    <x v="0"/>
    <x v="0"/>
    <x v="134"/>
    <x v="3"/>
    <s v="Michigan"/>
    <s v="Detroit"/>
    <x v="1"/>
    <n v="0.25000000000000006"/>
    <n v="3500"/>
    <x v="504"/>
    <n v="306.25000000000006"/>
    <n v="0.35"/>
  </r>
  <r>
    <x v="0"/>
    <x v="0"/>
    <x v="134"/>
    <x v="3"/>
    <s v="Michigan"/>
    <s v="Detroit"/>
    <x v="2"/>
    <n v="0.25000000000000006"/>
    <n v="2950"/>
    <x v="515"/>
    <n v="258.125"/>
    <n v="0.35"/>
  </r>
  <r>
    <x v="0"/>
    <x v="0"/>
    <x v="134"/>
    <x v="3"/>
    <s v="Michigan"/>
    <s v="Detroit"/>
    <x v="3"/>
    <n v="0.25000000000000006"/>
    <n v="3250"/>
    <x v="512"/>
    <n v="325.00000000000011"/>
    <n v="0.4"/>
  </r>
  <r>
    <x v="0"/>
    <x v="0"/>
    <x v="134"/>
    <x v="3"/>
    <s v="Michigan"/>
    <s v="Detroit"/>
    <x v="4"/>
    <n v="0.44999999999999996"/>
    <n v="3000"/>
    <x v="331"/>
    <n v="472.49999999999989"/>
    <n v="0.35"/>
  </r>
  <r>
    <x v="0"/>
    <x v="0"/>
    <x v="134"/>
    <x v="3"/>
    <s v="Michigan"/>
    <s v="Detroit"/>
    <x v="5"/>
    <n v="0.49999999999999983"/>
    <n v="4000"/>
    <x v="516"/>
    <n v="999.99999999999966"/>
    <n v="0.5"/>
  </r>
  <r>
    <x v="0"/>
    <x v="0"/>
    <x v="135"/>
    <x v="3"/>
    <s v="Michigan"/>
    <s v="Detroit"/>
    <x v="0"/>
    <n v="0.44999999999999996"/>
    <n v="6500"/>
    <x v="517"/>
    <n v="1169.9999999999998"/>
    <n v="0.4"/>
  </r>
  <r>
    <x v="0"/>
    <x v="0"/>
    <x v="135"/>
    <x v="3"/>
    <s v="Michigan"/>
    <s v="Detroit"/>
    <x v="1"/>
    <n v="0.35000000000000003"/>
    <n v="4500"/>
    <x v="160"/>
    <n v="551.25"/>
    <n v="0.35"/>
  </r>
  <r>
    <x v="0"/>
    <x v="0"/>
    <x v="135"/>
    <x v="3"/>
    <s v="Michigan"/>
    <s v="Detroit"/>
    <x v="2"/>
    <n v="0.35000000000000003"/>
    <n v="4000"/>
    <x v="159"/>
    <n v="490.00000000000006"/>
    <n v="0.35"/>
  </r>
  <r>
    <x v="0"/>
    <x v="0"/>
    <x v="135"/>
    <x v="3"/>
    <s v="Michigan"/>
    <s v="Detroit"/>
    <x v="3"/>
    <n v="0.35000000000000003"/>
    <n v="3500"/>
    <x v="206"/>
    <n v="490.00000000000011"/>
    <n v="0.4"/>
  </r>
  <r>
    <x v="0"/>
    <x v="0"/>
    <x v="135"/>
    <x v="3"/>
    <s v="Michigan"/>
    <s v="Detroit"/>
    <x v="4"/>
    <n v="0.44999999999999996"/>
    <n v="3500"/>
    <x v="518"/>
    <n v="551.24999999999989"/>
    <n v="0.35"/>
  </r>
  <r>
    <x v="0"/>
    <x v="0"/>
    <x v="135"/>
    <x v="3"/>
    <s v="Michigan"/>
    <s v="Detroit"/>
    <x v="5"/>
    <n v="0.49999999999999983"/>
    <n v="4500"/>
    <x v="519"/>
    <n v="1124.9999999999995"/>
    <n v="0.5"/>
  </r>
  <r>
    <x v="0"/>
    <x v="0"/>
    <x v="118"/>
    <x v="3"/>
    <s v="Missouri"/>
    <s v="St. Louis"/>
    <x v="0"/>
    <n v="0.25"/>
    <n v="6750"/>
    <x v="153"/>
    <n v="675"/>
    <n v="0.4"/>
  </r>
  <r>
    <x v="0"/>
    <x v="0"/>
    <x v="118"/>
    <x v="3"/>
    <s v="Missouri"/>
    <s v="St. Louis"/>
    <x v="1"/>
    <n v="0.25"/>
    <n v="4750"/>
    <x v="488"/>
    <n v="415.625"/>
    <n v="0.35"/>
  </r>
  <r>
    <x v="0"/>
    <x v="0"/>
    <x v="118"/>
    <x v="3"/>
    <s v="Missouri"/>
    <s v="St. Louis"/>
    <x v="2"/>
    <n v="0.15000000000000002"/>
    <n v="4750"/>
    <x v="520"/>
    <n v="249.37500000000003"/>
    <n v="0.35"/>
  </r>
  <r>
    <x v="0"/>
    <x v="0"/>
    <x v="118"/>
    <x v="3"/>
    <s v="Missouri"/>
    <s v="St. Louis"/>
    <x v="3"/>
    <n v="0.20000000000000007"/>
    <n v="3250"/>
    <x v="521"/>
    <n v="260.00000000000011"/>
    <n v="0.4"/>
  </r>
  <r>
    <x v="0"/>
    <x v="0"/>
    <x v="118"/>
    <x v="3"/>
    <s v="Missouri"/>
    <s v="St. Louis"/>
    <x v="4"/>
    <n v="0.35"/>
    <n v="3750"/>
    <x v="385"/>
    <n v="459.37499999999994"/>
    <n v="0.35"/>
  </r>
  <r>
    <x v="0"/>
    <x v="0"/>
    <x v="118"/>
    <x v="3"/>
    <s v="Missouri"/>
    <s v="St. Louis"/>
    <x v="5"/>
    <n v="0.25"/>
    <n v="4750"/>
    <x v="488"/>
    <n v="593.75"/>
    <n v="0.5"/>
  </r>
  <r>
    <x v="0"/>
    <x v="0"/>
    <x v="119"/>
    <x v="3"/>
    <s v="Missouri"/>
    <s v="St. Louis"/>
    <x v="0"/>
    <n v="0.25"/>
    <n v="7250"/>
    <x v="522"/>
    <n v="725"/>
    <n v="0.4"/>
  </r>
  <r>
    <x v="0"/>
    <x v="0"/>
    <x v="119"/>
    <x v="3"/>
    <s v="Missouri"/>
    <s v="St. Louis"/>
    <x v="1"/>
    <n v="0.25"/>
    <n v="3750"/>
    <x v="523"/>
    <n v="328.125"/>
    <n v="0.35"/>
  </r>
  <r>
    <x v="0"/>
    <x v="0"/>
    <x v="119"/>
    <x v="3"/>
    <s v="Missouri"/>
    <s v="St. Louis"/>
    <x v="2"/>
    <n v="0.15000000000000002"/>
    <n v="4250"/>
    <x v="524"/>
    <n v="223.12500000000003"/>
    <n v="0.35"/>
  </r>
  <r>
    <x v="0"/>
    <x v="0"/>
    <x v="119"/>
    <x v="3"/>
    <s v="Missouri"/>
    <s v="St. Louis"/>
    <x v="3"/>
    <n v="0.20000000000000007"/>
    <n v="3000"/>
    <x v="525"/>
    <n v="240.00000000000011"/>
    <n v="0.4"/>
  </r>
  <r>
    <x v="0"/>
    <x v="0"/>
    <x v="119"/>
    <x v="3"/>
    <s v="Missouri"/>
    <s v="St. Louis"/>
    <x v="4"/>
    <n v="0.35"/>
    <n v="3750"/>
    <x v="385"/>
    <n v="459.37499999999994"/>
    <n v="0.35"/>
  </r>
  <r>
    <x v="0"/>
    <x v="0"/>
    <x v="119"/>
    <x v="3"/>
    <s v="Missouri"/>
    <s v="St. Louis"/>
    <x v="5"/>
    <n v="0.25"/>
    <n v="4500"/>
    <x v="127"/>
    <n v="562.5"/>
    <n v="0.5"/>
  </r>
  <r>
    <x v="0"/>
    <x v="0"/>
    <x v="2"/>
    <x v="3"/>
    <s v="Missouri"/>
    <s v="St. Louis"/>
    <x v="0"/>
    <n v="0.30000000000000004"/>
    <n v="6700"/>
    <x v="526"/>
    <n v="804.00000000000011"/>
    <n v="0.4"/>
  </r>
  <r>
    <x v="0"/>
    <x v="0"/>
    <x v="2"/>
    <x v="3"/>
    <s v="Missouri"/>
    <s v="St. Louis"/>
    <x v="1"/>
    <n v="0.30000000000000004"/>
    <n v="3500"/>
    <x v="187"/>
    <n v="367.50000000000006"/>
    <n v="0.35"/>
  </r>
  <r>
    <x v="0"/>
    <x v="0"/>
    <x v="2"/>
    <x v="3"/>
    <s v="Missouri"/>
    <s v="St. Louis"/>
    <x v="2"/>
    <n v="0.20000000000000007"/>
    <n v="4000"/>
    <x v="527"/>
    <n v="280.00000000000006"/>
    <n v="0.35"/>
  </r>
  <r>
    <x v="0"/>
    <x v="0"/>
    <x v="2"/>
    <x v="3"/>
    <s v="Missouri"/>
    <s v="St. Louis"/>
    <x v="3"/>
    <n v="0.25"/>
    <n v="2500"/>
    <x v="143"/>
    <n v="250"/>
    <n v="0.4"/>
  </r>
  <r>
    <x v="0"/>
    <x v="0"/>
    <x v="2"/>
    <x v="3"/>
    <s v="Missouri"/>
    <s v="St. Louis"/>
    <x v="4"/>
    <n v="0.4"/>
    <n v="3000"/>
    <x v="147"/>
    <n v="420"/>
    <n v="0.35"/>
  </r>
  <r>
    <x v="0"/>
    <x v="0"/>
    <x v="2"/>
    <x v="3"/>
    <s v="Missouri"/>
    <s v="St. Louis"/>
    <x v="5"/>
    <n v="0.30000000000000004"/>
    <n v="4000"/>
    <x v="200"/>
    <n v="600.00000000000011"/>
    <n v="0.5"/>
  </r>
  <r>
    <x v="0"/>
    <x v="0"/>
    <x v="3"/>
    <x v="3"/>
    <s v="Missouri"/>
    <s v="St. Louis"/>
    <x v="0"/>
    <n v="0.30000000000000004"/>
    <n v="6250"/>
    <x v="528"/>
    <n v="750.00000000000011"/>
    <n v="0.4"/>
  </r>
  <r>
    <x v="0"/>
    <x v="0"/>
    <x v="3"/>
    <x v="3"/>
    <s v="Missouri"/>
    <s v="St. Louis"/>
    <x v="1"/>
    <n v="0.25000000000000006"/>
    <n v="3250"/>
    <x v="512"/>
    <n v="284.37500000000006"/>
    <n v="0.35"/>
  </r>
  <r>
    <x v="0"/>
    <x v="0"/>
    <x v="3"/>
    <x v="3"/>
    <s v="Missouri"/>
    <s v="St. Louis"/>
    <x v="2"/>
    <n v="0.15000000000000008"/>
    <n v="3250"/>
    <x v="529"/>
    <n v="170.62500000000006"/>
    <n v="0.35"/>
  </r>
  <r>
    <x v="0"/>
    <x v="0"/>
    <x v="3"/>
    <x v="3"/>
    <s v="Missouri"/>
    <s v="St. Louis"/>
    <x v="3"/>
    <n v="0.2"/>
    <n v="2500"/>
    <x v="118"/>
    <n v="200"/>
    <n v="0.4"/>
  </r>
  <r>
    <x v="0"/>
    <x v="0"/>
    <x v="3"/>
    <x v="3"/>
    <s v="Missouri"/>
    <s v="St. Louis"/>
    <x v="4"/>
    <n v="0.35000000000000003"/>
    <n v="2750"/>
    <x v="117"/>
    <n v="336.875"/>
    <n v="0.35"/>
  </r>
  <r>
    <x v="0"/>
    <x v="0"/>
    <x v="3"/>
    <x v="3"/>
    <s v="Missouri"/>
    <s v="St. Louis"/>
    <x v="5"/>
    <n v="0.25000000000000006"/>
    <n v="4000"/>
    <x v="322"/>
    <n v="500.00000000000011"/>
    <n v="0.5"/>
  </r>
  <r>
    <x v="0"/>
    <x v="0"/>
    <x v="120"/>
    <x v="3"/>
    <s v="Missouri"/>
    <s v="St. Louis"/>
    <x v="0"/>
    <n v="0.35000000000000003"/>
    <n v="6700"/>
    <x v="530"/>
    <n v="938"/>
    <n v="0.4"/>
  </r>
  <r>
    <x v="0"/>
    <x v="0"/>
    <x v="120"/>
    <x v="3"/>
    <s v="Missouri"/>
    <s v="St. Louis"/>
    <x v="1"/>
    <n v="0.3000000000000001"/>
    <n v="3750"/>
    <x v="531"/>
    <n v="393.75000000000011"/>
    <n v="0.35"/>
  </r>
  <r>
    <x v="0"/>
    <x v="0"/>
    <x v="120"/>
    <x v="3"/>
    <s v="Missouri"/>
    <s v="St. Louis"/>
    <x v="2"/>
    <n v="0.25000000000000006"/>
    <n v="3500"/>
    <x v="504"/>
    <n v="306.25000000000006"/>
    <n v="0.35"/>
  </r>
  <r>
    <x v="0"/>
    <x v="0"/>
    <x v="120"/>
    <x v="3"/>
    <s v="Missouri"/>
    <s v="St. Louis"/>
    <x v="3"/>
    <n v="0.25000000000000006"/>
    <n v="2750"/>
    <x v="502"/>
    <n v="275.00000000000006"/>
    <n v="0.4"/>
  </r>
  <r>
    <x v="0"/>
    <x v="0"/>
    <x v="120"/>
    <x v="3"/>
    <s v="Missouri"/>
    <s v="St. Louis"/>
    <x v="4"/>
    <n v="0.39999999999999997"/>
    <n v="3000"/>
    <x v="147"/>
    <n v="420"/>
    <n v="0.35"/>
  </r>
  <r>
    <x v="0"/>
    <x v="0"/>
    <x v="120"/>
    <x v="3"/>
    <s v="Missouri"/>
    <s v="St. Louis"/>
    <x v="5"/>
    <n v="0.44999999999999996"/>
    <n v="4000"/>
    <x v="451"/>
    <n v="899.99999999999989"/>
    <n v="0.5"/>
  </r>
  <r>
    <x v="0"/>
    <x v="0"/>
    <x v="121"/>
    <x v="3"/>
    <s v="Missouri"/>
    <s v="St. Louis"/>
    <x v="0"/>
    <n v="0.30000000000000004"/>
    <n v="6500"/>
    <x v="470"/>
    <n v="780.00000000000011"/>
    <n v="0.4"/>
  </r>
  <r>
    <x v="0"/>
    <x v="0"/>
    <x v="121"/>
    <x v="3"/>
    <s v="Missouri"/>
    <s v="St. Louis"/>
    <x v="1"/>
    <n v="0.25000000000000011"/>
    <n v="4000"/>
    <x v="532"/>
    <n v="350.00000000000011"/>
    <n v="0.35"/>
  </r>
  <r>
    <x v="0"/>
    <x v="0"/>
    <x v="121"/>
    <x v="3"/>
    <s v="Missouri"/>
    <s v="St. Louis"/>
    <x v="2"/>
    <n v="0.20000000000000007"/>
    <n v="4250"/>
    <x v="533"/>
    <n v="297.50000000000006"/>
    <n v="0.35"/>
  </r>
  <r>
    <x v="0"/>
    <x v="0"/>
    <x v="121"/>
    <x v="3"/>
    <s v="Missouri"/>
    <s v="St. Louis"/>
    <x v="3"/>
    <n v="0.20000000000000007"/>
    <n v="4000"/>
    <x v="527"/>
    <n v="320.00000000000011"/>
    <n v="0.4"/>
  </r>
  <r>
    <x v="0"/>
    <x v="0"/>
    <x v="121"/>
    <x v="3"/>
    <s v="Missouri"/>
    <s v="St. Louis"/>
    <x v="4"/>
    <n v="0.35000000000000003"/>
    <n v="4000"/>
    <x v="159"/>
    <n v="490.00000000000006"/>
    <n v="0.35"/>
  </r>
  <r>
    <x v="0"/>
    <x v="0"/>
    <x v="121"/>
    <x v="3"/>
    <s v="Missouri"/>
    <s v="St. Louis"/>
    <x v="5"/>
    <n v="0.4"/>
    <n v="5750"/>
    <x v="336"/>
    <n v="1150"/>
    <n v="0.5"/>
  </r>
  <r>
    <x v="0"/>
    <x v="0"/>
    <x v="6"/>
    <x v="3"/>
    <s v="Missouri"/>
    <s v="St. Louis"/>
    <x v="0"/>
    <n v="0.35000000000000003"/>
    <n v="8000"/>
    <x v="219"/>
    <n v="1120.0000000000002"/>
    <n v="0.4"/>
  </r>
  <r>
    <x v="0"/>
    <x v="0"/>
    <x v="6"/>
    <x v="3"/>
    <s v="Missouri"/>
    <s v="St. Louis"/>
    <x v="1"/>
    <n v="0.3000000000000001"/>
    <n v="5500"/>
    <x v="534"/>
    <n v="577.50000000000011"/>
    <n v="0.35"/>
  </r>
  <r>
    <x v="0"/>
    <x v="0"/>
    <x v="6"/>
    <x v="3"/>
    <s v="Missouri"/>
    <s v="St. Louis"/>
    <x v="2"/>
    <n v="0.25000000000000006"/>
    <n v="4750"/>
    <x v="535"/>
    <n v="415.62500000000006"/>
    <n v="0.35"/>
  </r>
  <r>
    <x v="0"/>
    <x v="0"/>
    <x v="6"/>
    <x v="3"/>
    <s v="Missouri"/>
    <s v="St. Louis"/>
    <x v="3"/>
    <n v="0.25000000000000006"/>
    <n v="4250"/>
    <x v="536"/>
    <n v="425.00000000000011"/>
    <n v="0.4"/>
  </r>
  <r>
    <x v="0"/>
    <x v="0"/>
    <x v="6"/>
    <x v="3"/>
    <s v="Missouri"/>
    <s v="St. Louis"/>
    <x v="4"/>
    <n v="0.35000000000000003"/>
    <n v="4250"/>
    <x v="343"/>
    <n v="520.625"/>
    <n v="0.35"/>
  </r>
  <r>
    <x v="0"/>
    <x v="0"/>
    <x v="6"/>
    <x v="3"/>
    <s v="Missouri"/>
    <s v="St. Louis"/>
    <x v="5"/>
    <n v="0.4"/>
    <n v="6000"/>
    <x v="50"/>
    <n v="1200"/>
    <n v="0.5"/>
  </r>
  <r>
    <x v="0"/>
    <x v="0"/>
    <x v="7"/>
    <x v="3"/>
    <s v="Missouri"/>
    <s v="St. Louis"/>
    <x v="0"/>
    <n v="0.35000000000000003"/>
    <n v="7500"/>
    <x v="195"/>
    <n v="1050.0000000000002"/>
    <n v="0.4"/>
  </r>
  <r>
    <x v="0"/>
    <x v="0"/>
    <x v="7"/>
    <x v="3"/>
    <s v="Missouri"/>
    <s v="St. Louis"/>
    <x v="1"/>
    <n v="0.35000000000000009"/>
    <n v="5250"/>
    <x v="537"/>
    <n v="643.12500000000011"/>
    <n v="0.35"/>
  </r>
  <r>
    <x v="0"/>
    <x v="0"/>
    <x v="7"/>
    <x v="3"/>
    <s v="Missouri"/>
    <s v="St. Louis"/>
    <x v="2"/>
    <n v="0.30000000000000004"/>
    <n v="4500"/>
    <x v="139"/>
    <n v="472.50000000000006"/>
    <n v="0.35"/>
  </r>
  <r>
    <x v="0"/>
    <x v="0"/>
    <x v="7"/>
    <x v="3"/>
    <s v="Missouri"/>
    <s v="St. Louis"/>
    <x v="3"/>
    <n v="0.20000000000000007"/>
    <n v="3750"/>
    <x v="388"/>
    <n v="300.00000000000011"/>
    <n v="0.4"/>
  </r>
  <r>
    <x v="0"/>
    <x v="0"/>
    <x v="7"/>
    <x v="3"/>
    <s v="Missouri"/>
    <s v="St. Louis"/>
    <x v="4"/>
    <n v="0.30000000000000004"/>
    <n v="3500"/>
    <x v="187"/>
    <n v="367.50000000000006"/>
    <n v="0.35"/>
  </r>
  <r>
    <x v="0"/>
    <x v="0"/>
    <x v="7"/>
    <x v="3"/>
    <s v="Missouri"/>
    <s v="St. Louis"/>
    <x v="5"/>
    <n v="0.35000000000000003"/>
    <n v="5250"/>
    <x v="450"/>
    <n v="918.75000000000011"/>
    <n v="0.5"/>
  </r>
  <r>
    <x v="0"/>
    <x v="0"/>
    <x v="122"/>
    <x v="3"/>
    <s v="Missouri"/>
    <s v="St. Louis"/>
    <x v="0"/>
    <n v="0.30000000000000004"/>
    <n v="6500"/>
    <x v="470"/>
    <n v="780.00000000000011"/>
    <n v="0.4"/>
  </r>
  <r>
    <x v="0"/>
    <x v="0"/>
    <x v="122"/>
    <x v="3"/>
    <s v="Missouri"/>
    <s v="St. Louis"/>
    <x v="1"/>
    <n v="0.25000000000000011"/>
    <n v="4500"/>
    <x v="531"/>
    <n v="393.75000000000011"/>
    <n v="0.35"/>
  </r>
  <r>
    <x v="0"/>
    <x v="0"/>
    <x v="122"/>
    <x v="3"/>
    <s v="Missouri"/>
    <s v="St. Louis"/>
    <x v="2"/>
    <n v="0.10000000000000002"/>
    <n v="3500"/>
    <x v="367"/>
    <n v="122.50000000000001"/>
    <n v="0.35"/>
  </r>
  <r>
    <x v="0"/>
    <x v="0"/>
    <x v="122"/>
    <x v="3"/>
    <s v="Missouri"/>
    <s v="St. Louis"/>
    <x v="3"/>
    <n v="0.10000000000000002"/>
    <n v="3250"/>
    <x v="538"/>
    <n v="130.00000000000003"/>
    <n v="0.4"/>
  </r>
  <r>
    <x v="0"/>
    <x v="0"/>
    <x v="122"/>
    <x v="3"/>
    <s v="Missouri"/>
    <s v="St. Louis"/>
    <x v="4"/>
    <n v="0.2"/>
    <n v="3250"/>
    <x v="406"/>
    <n v="227.49999999999997"/>
    <n v="0.35"/>
  </r>
  <r>
    <x v="0"/>
    <x v="0"/>
    <x v="122"/>
    <x v="3"/>
    <s v="Missouri"/>
    <s v="St. Louis"/>
    <x v="5"/>
    <n v="0.25000000000000006"/>
    <n v="4000"/>
    <x v="322"/>
    <n v="500.00000000000011"/>
    <n v="0.5"/>
  </r>
  <r>
    <x v="0"/>
    <x v="0"/>
    <x v="123"/>
    <x v="3"/>
    <s v="Missouri"/>
    <s v="St. Louis"/>
    <x v="0"/>
    <n v="0.3"/>
    <n v="5750"/>
    <x v="539"/>
    <n v="690"/>
    <n v="0.4"/>
  </r>
  <r>
    <x v="0"/>
    <x v="0"/>
    <x v="123"/>
    <x v="3"/>
    <s v="Missouri"/>
    <s v="St. Louis"/>
    <x v="1"/>
    <n v="0.2"/>
    <n v="4000"/>
    <x v="134"/>
    <n v="280"/>
    <n v="0.35"/>
  </r>
  <r>
    <x v="0"/>
    <x v="0"/>
    <x v="123"/>
    <x v="3"/>
    <s v="Missouri"/>
    <s v="St. Louis"/>
    <x v="2"/>
    <n v="0.2"/>
    <n v="3000"/>
    <x v="128"/>
    <n v="210"/>
    <n v="0.35"/>
  </r>
  <r>
    <x v="0"/>
    <x v="0"/>
    <x v="123"/>
    <x v="3"/>
    <s v="Missouri"/>
    <s v="St. Louis"/>
    <x v="3"/>
    <n v="0.2"/>
    <n v="2750"/>
    <x v="189"/>
    <n v="220"/>
    <n v="0.4"/>
  </r>
  <r>
    <x v="0"/>
    <x v="0"/>
    <x v="123"/>
    <x v="3"/>
    <s v="Missouri"/>
    <s v="St. Louis"/>
    <x v="4"/>
    <n v="0.3"/>
    <n v="2750"/>
    <x v="540"/>
    <n v="288.75"/>
    <n v="0.35"/>
  </r>
  <r>
    <x v="0"/>
    <x v="0"/>
    <x v="123"/>
    <x v="3"/>
    <s v="Missouri"/>
    <s v="St. Louis"/>
    <x v="5"/>
    <n v="0.34999999999999992"/>
    <n v="4000"/>
    <x v="161"/>
    <n v="699.99999999999989"/>
    <n v="0.5"/>
  </r>
  <r>
    <x v="0"/>
    <x v="0"/>
    <x v="10"/>
    <x v="3"/>
    <s v="Missouri"/>
    <s v="St. Louis"/>
    <x v="0"/>
    <n v="0.30000000000000004"/>
    <n v="5500"/>
    <x v="205"/>
    <n v="660.00000000000011"/>
    <n v="0.4"/>
  </r>
  <r>
    <x v="0"/>
    <x v="0"/>
    <x v="10"/>
    <x v="3"/>
    <s v="Missouri"/>
    <s v="St. Louis"/>
    <x v="1"/>
    <n v="0.20000000000000007"/>
    <n v="4000"/>
    <x v="527"/>
    <n v="280.00000000000006"/>
    <n v="0.35"/>
  </r>
  <r>
    <x v="0"/>
    <x v="0"/>
    <x v="10"/>
    <x v="3"/>
    <s v="Missouri"/>
    <s v="St. Louis"/>
    <x v="2"/>
    <n v="0.20000000000000007"/>
    <n v="3450"/>
    <x v="541"/>
    <n v="241.50000000000006"/>
    <n v="0.35"/>
  </r>
  <r>
    <x v="0"/>
    <x v="0"/>
    <x v="10"/>
    <x v="3"/>
    <s v="Missouri"/>
    <s v="St. Louis"/>
    <x v="3"/>
    <n v="0.20000000000000007"/>
    <n v="3750"/>
    <x v="388"/>
    <n v="300.00000000000011"/>
    <n v="0.4"/>
  </r>
  <r>
    <x v="0"/>
    <x v="0"/>
    <x v="10"/>
    <x v="3"/>
    <s v="Missouri"/>
    <s v="St. Louis"/>
    <x v="4"/>
    <n v="0.39999999999999997"/>
    <n v="3500"/>
    <x v="161"/>
    <n v="489.99999999999989"/>
    <n v="0.35"/>
  </r>
  <r>
    <x v="0"/>
    <x v="0"/>
    <x v="10"/>
    <x v="3"/>
    <s v="Missouri"/>
    <s v="St. Louis"/>
    <x v="5"/>
    <n v="0.44999999999999984"/>
    <n v="4500"/>
    <x v="542"/>
    <n v="1012.4999999999997"/>
    <n v="0.5"/>
  </r>
  <r>
    <x v="0"/>
    <x v="0"/>
    <x v="11"/>
    <x v="3"/>
    <s v="Missouri"/>
    <s v="St. Louis"/>
    <x v="0"/>
    <n v="0.39999999999999997"/>
    <n v="7000"/>
    <x v="287"/>
    <n v="1119.9999999999998"/>
    <n v="0.4"/>
  </r>
  <r>
    <x v="0"/>
    <x v="0"/>
    <x v="11"/>
    <x v="3"/>
    <s v="Missouri"/>
    <s v="St. Louis"/>
    <x v="1"/>
    <n v="0.30000000000000004"/>
    <n v="5000"/>
    <x v="192"/>
    <n v="525"/>
    <n v="0.35"/>
  </r>
  <r>
    <x v="0"/>
    <x v="0"/>
    <x v="11"/>
    <x v="3"/>
    <s v="Missouri"/>
    <s v="St. Louis"/>
    <x v="2"/>
    <n v="0.30000000000000004"/>
    <n v="4500"/>
    <x v="139"/>
    <n v="472.50000000000006"/>
    <n v="0.35"/>
  </r>
  <r>
    <x v="0"/>
    <x v="0"/>
    <x v="11"/>
    <x v="3"/>
    <s v="Missouri"/>
    <s v="St. Louis"/>
    <x v="3"/>
    <n v="0.30000000000000004"/>
    <n v="4000"/>
    <x v="200"/>
    <n v="480.00000000000011"/>
    <n v="0.4"/>
  </r>
  <r>
    <x v="0"/>
    <x v="0"/>
    <x v="11"/>
    <x v="3"/>
    <s v="Missouri"/>
    <s v="St. Louis"/>
    <x v="4"/>
    <n v="0.39999999999999997"/>
    <n v="4000"/>
    <x v="543"/>
    <n v="559.99999999999989"/>
    <n v="0.35"/>
  </r>
  <r>
    <x v="0"/>
    <x v="0"/>
    <x v="11"/>
    <x v="3"/>
    <s v="Missouri"/>
    <s v="St. Louis"/>
    <x v="5"/>
    <n v="0.44999999999999984"/>
    <n v="5000"/>
    <x v="519"/>
    <n v="1124.9999999999995"/>
    <n v="0.5"/>
  </r>
  <r>
    <x v="2"/>
    <x v="2"/>
    <x v="145"/>
    <x v="2"/>
    <s v="Utah"/>
    <s v="Salt Lake City"/>
    <x v="0"/>
    <n v="0.30000000000000004"/>
    <n v="3500"/>
    <x v="187"/>
    <n v="367.50000000000006"/>
    <n v="0.35"/>
  </r>
  <r>
    <x v="2"/>
    <x v="2"/>
    <x v="145"/>
    <x v="2"/>
    <s v="Utah"/>
    <s v="Salt Lake City"/>
    <x v="1"/>
    <n v="0.4"/>
    <n v="3500"/>
    <x v="340"/>
    <n v="489.99999999999994"/>
    <n v="0.35"/>
  </r>
  <r>
    <x v="2"/>
    <x v="2"/>
    <x v="145"/>
    <x v="2"/>
    <s v="Utah"/>
    <s v="Salt Lake City"/>
    <x v="2"/>
    <n v="0.4"/>
    <n v="3500"/>
    <x v="340"/>
    <n v="489.99999999999994"/>
    <n v="0.35"/>
  </r>
  <r>
    <x v="2"/>
    <x v="2"/>
    <x v="145"/>
    <x v="2"/>
    <s v="Utah"/>
    <s v="Salt Lake City"/>
    <x v="3"/>
    <n v="0.4"/>
    <n v="2000"/>
    <x v="134"/>
    <n v="280"/>
    <n v="0.35"/>
  </r>
  <r>
    <x v="2"/>
    <x v="2"/>
    <x v="145"/>
    <x v="2"/>
    <s v="Utah"/>
    <s v="Salt Lake City"/>
    <x v="4"/>
    <n v="0.45000000000000007"/>
    <n v="1500"/>
    <x v="318"/>
    <n v="270.00000000000006"/>
    <n v="0.4"/>
  </r>
  <r>
    <x v="2"/>
    <x v="2"/>
    <x v="145"/>
    <x v="2"/>
    <s v="Utah"/>
    <s v="Salt Lake City"/>
    <x v="5"/>
    <n v="0.4"/>
    <n v="4000"/>
    <x v="173"/>
    <n v="480"/>
    <n v="0.3"/>
  </r>
  <r>
    <x v="2"/>
    <x v="2"/>
    <x v="146"/>
    <x v="2"/>
    <s v="Utah"/>
    <s v="Salt Lake City"/>
    <x v="0"/>
    <n v="0.30000000000000004"/>
    <n v="4500"/>
    <x v="139"/>
    <n v="472.50000000000006"/>
    <n v="0.35"/>
  </r>
  <r>
    <x v="2"/>
    <x v="2"/>
    <x v="146"/>
    <x v="2"/>
    <s v="Utah"/>
    <s v="Salt Lake City"/>
    <x v="1"/>
    <n v="0.4"/>
    <n v="3500"/>
    <x v="340"/>
    <n v="489.99999999999994"/>
    <n v="0.35"/>
  </r>
  <r>
    <x v="2"/>
    <x v="2"/>
    <x v="146"/>
    <x v="2"/>
    <s v="Utah"/>
    <s v="Salt Lake City"/>
    <x v="2"/>
    <n v="0.4"/>
    <n v="3500"/>
    <x v="340"/>
    <n v="489.99999999999994"/>
    <n v="0.35"/>
  </r>
  <r>
    <x v="2"/>
    <x v="2"/>
    <x v="146"/>
    <x v="2"/>
    <s v="Utah"/>
    <s v="Salt Lake City"/>
    <x v="3"/>
    <n v="0.4"/>
    <n v="2000"/>
    <x v="134"/>
    <n v="280"/>
    <n v="0.35"/>
  </r>
  <r>
    <x v="2"/>
    <x v="2"/>
    <x v="146"/>
    <x v="2"/>
    <s v="Utah"/>
    <s v="Salt Lake City"/>
    <x v="4"/>
    <n v="0.45000000000000007"/>
    <n v="1250"/>
    <x v="469"/>
    <n v="225.00000000000006"/>
    <n v="0.4"/>
  </r>
  <r>
    <x v="2"/>
    <x v="2"/>
    <x v="146"/>
    <x v="2"/>
    <s v="Utah"/>
    <s v="Salt Lake City"/>
    <x v="5"/>
    <n v="0.4"/>
    <n v="3250"/>
    <x v="194"/>
    <n v="390"/>
    <n v="0.3"/>
  </r>
  <r>
    <x v="2"/>
    <x v="2"/>
    <x v="147"/>
    <x v="2"/>
    <s v="Utah"/>
    <s v="Salt Lake City"/>
    <x v="0"/>
    <n v="0.4"/>
    <n v="4750"/>
    <x v="235"/>
    <n v="665"/>
    <n v="0.35"/>
  </r>
  <r>
    <x v="2"/>
    <x v="2"/>
    <x v="147"/>
    <x v="2"/>
    <s v="Utah"/>
    <s v="Salt Lake City"/>
    <x v="1"/>
    <n v="0.5"/>
    <n v="3250"/>
    <x v="132"/>
    <n v="568.75"/>
    <n v="0.35"/>
  </r>
  <r>
    <x v="2"/>
    <x v="2"/>
    <x v="147"/>
    <x v="2"/>
    <s v="Utah"/>
    <s v="Salt Lake City"/>
    <x v="2"/>
    <n v="0.54999999999999993"/>
    <n v="3500"/>
    <x v="237"/>
    <n v="673.74999999999989"/>
    <n v="0.35"/>
  </r>
  <r>
    <x v="2"/>
    <x v="2"/>
    <x v="147"/>
    <x v="2"/>
    <s v="Utah"/>
    <s v="Salt Lake City"/>
    <x v="3"/>
    <n v="0.5"/>
    <n v="2500"/>
    <x v="142"/>
    <n v="437.5"/>
    <n v="0.35"/>
  </r>
  <r>
    <x v="2"/>
    <x v="2"/>
    <x v="147"/>
    <x v="2"/>
    <s v="Utah"/>
    <s v="Salt Lake City"/>
    <x v="4"/>
    <n v="0.55000000000000004"/>
    <n v="1000"/>
    <x v="189"/>
    <n v="220"/>
    <n v="0.4"/>
  </r>
  <r>
    <x v="2"/>
    <x v="2"/>
    <x v="147"/>
    <x v="2"/>
    <s v="Utah"/>
    <s v="Salt Lake City"/>
    <x v="5"/>
    <n v="0.5"/>
    <n v="3000"/>
    <x v="146"/>
    <n v="450"/>
    <n v="0.3"/>
  </r>
  <r>
    <x v="2"/>
    <x v="2"/>
    <x v="148"/>
    <x v="2"/>
    <s v="Utah"/>
    <s v="Salt Lake City"/>
    <x v="0"/>
    <n v="0.55000000000000004"/>
    <n v="4750"/>
    <x v="356"/>
    <n v="914.37499999999989"/>
    <n v="0.35"/>
  </r>
  <r>
    <x v="2"/>
    <x v="2"/>
    <x v="148"/>
    <x v="2"/>
    <s v="Utah"/>
    <s v="Salt Lake City"/>
    <x v="1"/>
    <n v="0.60000000000000009"/>
    <n v="2750"/>
    <x v="205"/>
    <n v="577.5"/>
    <n v="0.35"/>
  </r>
  <r>
    <x v="2"/>
    <x v="2"/>
    <x v="148"/>
    <x v="2"/>
    <s v="Utah"/>
    <s v="Salt Lake City"/>
    <x v="2"/>
    <n v="0.60000000000000009"/>
    <n v="3250"/>
    <x v="470"/>
    <n v="682.5"/>
    <n v="0.35"/>
  </r>
  <r>
    <x v="2"/>
    <x v="2"/>
    <x v="148"/>
    <x v="2"/>
    <s v="Utah"/>
    <s v="Salt Lake City"/>
    <x v="3"/>
    <n v="0.45000000000000007"/>
    <n v="2250"/>
    <x v="471"/>
    <n v="354.375"/>
    <n v="0.35"/>
  </r>
  <r>
    <x v="2"/>
    <x v="2"/>
    <x v="148"/>
    <x v="2"/>
    <s v="Utah"/>
    <s v="Salt Lake City"/>
    <x v="4"/>
    <n v="0.50000000000000011"/>
    <n v="1250"/>
    <x v="472"/>
    <n v="250.00000000000006"/>
    <n v="0.4"/>
  </r>
  <r>
    <x v="2"/>
    <x v="2"/>
    <x v="148"/>
    <x v="2"/>
    <s v="Utah"/>
    <s v="Salt Lake City"/>
    <x v="5"/>
    <n v="0.65000000000000013"/>
    <n v="3000"/>
    <x v="473"/>
    <n v="585.00000000000011"/>
    <n v="0.3"/>
  </r>
  <r>
    <x v="2"/>
    <x v="2"/>
    <x v="149"/>
    <x v="2"/>
    <s v="Utah"/>
    <s v="Salt Lake City"/>
    <x v="0"/>
    <n v="0.5"/>
    <n v="5000"/>
    <x v="54"/>
    <n v="875"/>
    <n v="0.35"/>
  </r>
  <r>
    <x v="2"/>
    <x v="2"/>
    <x v="149"/>
    <x v="2"/>
    <s v="Utah"/>
    <s v="Salt Lake City"/>
    <x v="1"/>
    <n v="0.55000000000000004"/>
    <n v="3500"/>
    <x v="136"/>
    <n v="673.75"/>
    <n v="0.35"/>
  </r>
  <r>
    <x v="2"/>
    <x v="2"/>
    <x v="149"/>
    <x v="2"/>
    <s v="Utah"/>
    <s v="Salt Lake City"/>
    <x v="2"/>
    <n v="0.55000000000000004"/>
    <n v="3500"/>
    <x v="136"/>
    <n v="673.75"/>
    <n v="0.35"/>
  </r>
  <r>
    <x v="2"/>
    <x v="2"/>
    <x v="149"/>
    <x v="2"/>
    <s v="Utah"/>
    <s v="Salt Lake City"/>
    <x v="3"/>
    <n v="0.5"/>
    <n v="2750"/>
    <x v="140"/>
    <n v="481.24999999999994"/>
    <n v="0.35"/>
  </r>
  <r>
    <x v="2"/>
    <x v="2"/>
    <x v="149"/>
    <x v="2"/>
    <s v="Utah"/>
    <s v="Salt Lake City"/>
    <x v="4"/>
    <n v="0.44999999999999996"/>
    <n v="1750"/>
    <x v="474"/>
    <n v="315"/>
    <n v="0.4"/>
  </r>
  <r>
    <x v="2"/>
    <x v="2"/>
    <x v="149"/>
    <x v="2"/>
    <s v="Utah"/>
    <s v="Salt Lake City"/>
    <x v="5"/>
    <n v="0.6"/>
    <n v="5250"/>
    <x v="40"/>
    <n v="945"/>
    <n v="0.3"/>
  </r>
  <r>
    <x v="2"/>
    <x v="2"/>
    <x v="150"/>
    <x v="2"/>
    <s v="Utah"/>
    <s v="Salt Lake City"/>
    <x v="0"/>
    <n v="0.54999999999999993"/>
    <n v="7750"/>
    <x v="475"/>
    <n v="1491.8749999999995"/>
    <n v="0.35"/>
  </r>
  <r>
    <x v="2"/>
    <x v="2"/>
    <x v="150"/>
    <x v="2"/>
    <s v="Utah"/>
    <s v="Salt Lake City"/>
    <x v="1"/>
    <n v="0.64999999999999991"/>
    <n v="6500"/>
    <x v="476"/>
    <n v="1478.7499999999995"/>
    <n v="0.35"/>
  </r>
  <r>
    <x v="2"/>
    <x v="2"/>
    <x v="150"/>
    <x v="2"/>
    <s v="Utah"/>
    <s v="Salt Lake City"/>
    <x v="2"/>
    <n v="0.79999999999999993"/>
    <n v="6500"/>
    <x v="97"/>
    <n v="1819.9999999999998"/>
    <n v="0.35"/>
  </r>
  <r>
    <x v="2"/>
    <x v="2"/>
    <x v="150"/>
    <x v="2"/>
    <s v="Utah"/>
    <s v="Salt Lake City"/>
    <x v="3"/>
    <n v="0.79999999999999993"/>
    <n v="5250"/>
    <x v="81"/>
    <n v="1470"/>
    <n v="0.35"/>
  </r>
  <r>
    <x v="2"/>
    <x v="2"/>
    <x v="150"/>
    <x v="2"/>
    <s v="Utah"/>
    <s v="Salt Lake City"/>
    <x v="4"/>
    <n v="0.9"/>
    <n v="4000"/>
    <x v="11"/>
    <n v="1440"/>
    <n v="0.4"/>
  </r>
  <r>
    <x v="2"/>
    <x v="2"/>
    <x v="150"/>
    <x v="2"/>
    <s v="Utah"/>
    <s v="Salt Lake City"/>
    <x v="5"/>
    <n v="1.05"/>
    <n v="7000"/>
    <x v="477"/>
    <n v="2205"/>
    <n v="0.3"/>
  </r>
  <r>
    <x v="2"/>
    <x v="2"/>
    <x v="151"/>
    <x v="2"/>
    <s v="Utah"/>
    <s v="Salt Lake City"/>
    <x v="0"/>
    <n v="0.85"/>
    <n v="8500"/>
    <x v="478"/>
    <n v="2528.75"/>
    <n v="0.35"/>
  </r>
  <r>
    <x v="2"/>
    <x v="2"/>
    <x v="151"/>
    <x v="2"/>
    <s v="Utah"/>
    <s v="Salt Lake City"/>
    <x v="1"/>
    <n v="0.9"/>
    <n v="7000"/>
    <x v="479"/>
    <n v="2205"/>
    <n v="0.35"/>
  </r>
  <r>
    <x v="2"/>
    <x v="2"/>
    <x v="151"/>
    <x v="2"/>
    <s v="Utah"/>
    <s v="Salt Lake City"/>
    <x v="2"/>
    <n v="0.9"/>
    <n v="6500"/>
    <x v="38"/>
    <n v="2047.4999999999998"/>
    <n v="0.35"/>
  </r>
  <r>
    <x v="2"/>
    <x v="2"/>
    <x v="151"/>
    <x v="2"/>
    <s v="Utah"/>
    <s v="Salt Lake City"/>
    <x v="3"/>
    <n v="0.85"/>
    <n v="5500"/>
    <x v="68"/>
    <n v="1636.25"/>
    <n v="0.35"/>
  </r>
  <r>
    <x v="2"/>
    <x v="2"/>
    <x v="151"/>
    <x v="2"/>
    <s v="Utah"/>
    <s v="Salt Lake City"/>
    <x v="4"/>
    <n v="0.9"/>
    <n v="6000"/>
    <x v="4"/>
    <n v="2160"/>
    <n v="0.4"/>
  </r>
  <r>
    <x v="2"/>
    <x v="2"/>
    <x v="151"/>
    <x v="2"/>
    <s v="Utah"/>
    <s v="Salt Lake City"/>
    <x v="5"/>
    <n v="1.05"/>
    <n v="6000"/>
    <x v="479"/>
    <n v="1890"/>
    <n v="0.3"/>
  </r>
  <r>
    <x v="2"/>
    <x v="2"/>
    <x v="152"/>
    <x v="2"/>
    <s v="Utah"/>
    <s v="Salt Lake City"/>
    <x v="0"/>
    <n v="0.9"/>
    <n v="8000"/>
    <x v="28"/>
    <n v="2520"/>
    <n v="0.35"/>
  </r>
  <r>
    <x v="2"/>
    <x v="2"/>
    <x v="152"/>
    <x v="2"/>
    <s v="Utah"/>
    <s v="Salt Lake City"/>
    <x v="1"/>
    <n v="0.8"/>
    <n v="7750"/>
    <x v="94"/>
    <n v="2170"/>
    <n v="0.35"/>
  </r>
  <r>
    <x v="2"/>
    <x v="2"/>
    <x v="152"/>
    <x v="2"/>
    <s v="Utah"/>
    <s v="Salt Lake City"/>
    <x v="2"/>
    <n v="0.70000000000000007"/>
    <n v="6500"/>
    <x v="109"/>
    <n v="1592.5"/>
    <n v="0.35"/>
  </r>
  <r>
    <x v="2"/>
    <x v="2"/>
    <x v="152"/>
    <x v="2"/>
    <s v="Utah"/>
    <s v="Salt Lake City"/>
    <x v="3"/>
    <n v="0.70000000000000007"/>
    <n v="4250"/>
    <x v="253"/>
    <n v="1041.25"/>
    <n v="0.35"/>
  </r>
  <r>
    <x v="2"/>
    <x v="2"/>
    <x v="152"/>
    <x v="2"/>
    <s v="Utah"/>
    <s v="Salt Lake City"/>
    <x v="4"/>
    <n v="0.7"/>
    <n v="4250"/>
    <x v="44"/>
    <n v="1190"/>
    <n v="0.4"/>
  </r>
  <r>
    <x v="2"/>
    <x v="2"/>
    <x v="152"/>
    <x v="2"/>
    <s v="Utah"/>
    <s v="Salt Lake City"/>
    <x v="5"/>
    <n v="0.75"/>
    <n v="2500"/>
    <x v="203"/>
    <n v="562.5"/>
    <n v="0.3"/>
  </r>
  <r>
    <x v="2"/>
    <x v="2"/>
    <x v="153"/>
    <x v="2"/>
    <s v="Utah"/>
    <s v="Salt Lake City"/>
    <x v="0"/>
    <n v="0.50000000000000011"/>
    <n v="4500"/>
    <x v="223"/>
    <n v="787.50000000000011"/>
    <n v="0.35"/>
  </r>
  <r>
    <x v="2"/>
    <x v="2"/>
    <x v="153"/>
    <x v="2"/>
    <s v="Utah"/>
    <s v="Salt Lake City"/>
    <x v="1"/>
    <n v="0.55000000000000016"/>
    <n v="4500"/>
    <x v="480"/>
    <n v="866.25000000000023"/>
    <n v="0.35"/>
  </r>
  <r>
    <x v="2"/>
    <x v="2"/>
    <x v="153"/>
    <x v="2"/>
    <s v="Utah"/>
    <s v="Salt Lake City"/>
    <x v="2"/>
    <n v="0.50000000000000011"/>
    <n v="2500"/>
    <x v="396"/>
    <n v="437.50000000000006"/>
    <n v="0.35"/>
  </r>
  <r>
    <x v="2"/>
    <x v="2"/>
    <x v="153"/>
    <x v="2"/>
    <s v="Utah"/>
    <s v="Salt Lake City"/>
    <x v="3"/>
    <n v="0.50000000000000011"/>
    <n v="2000"/>
    <x v="322"/>
    <n v="350.00000000000006"/>
    <n v="0.35"/>
  </r>
  <r>
    <x v="2"/>
    <x v="2"/>
    <x v="153"/>
    <x v="2"/>
    <s v="Utah"/>
    <s v="Salt Lake City"/>
    <x v="4"/>
    <n v="0.60000000000000009"/>
    <n v="2250"/>
    <x v="139"/>
    <n v="540.00000000000011"/>
    <n v="0.4"/>
  </r>
  <r>
    <x v="2"/>
    <x v="2"/>
    <x v="153"/>
    <x v="2"/>
    <s v="Utah"/>
    <s v="Salt Lake City"/>
    <x v="5"/>
    <n v="0.44999999999999996"/>
    <n v="2500"/>
    <x v="127"/>
    <n v="337.5"/>
    <n v="0.3"/>
  </r>
  <r>
    <x v="2"/>
    <x v="2"/>
    <x v="154"/>
    <x v="2"/>
    <s v="Utah"/>
    <s v="Salt Lake City"/>
    <x v="0"/>
    <n v="0.4"/>
    <n v="3500"/>
    <x v="340"/>
    <n v="489.99999999999994"/>
    <n v="0.35"/>
  </r>
  <r>
    <x v="2"/>
    <x v="2"/>
    <x v="154"/>
    <x v="2"/>
    <s v="Utah"/>
    <s v="Salt Lake City"/>
    <x v="1"/>
    <n v="0.55000000000000016"/>
    <n v="5250"/>
    <x v="481"/>
    <n v="1010.6250000000002"/>
    <n v="0.35"/>
  </r>
  <r>
    <x v="2"/>
    <x v="2"/>
    <x v="154"/>
    <x v="2"/>
    <s v="Utah"/>
    <s v="Salt Lake City"/>
    <x v="2"/>
    <n v="0.50000000000000011"/>
    <n v="3500"/>
    <x v="482"/>
    <n v="612.50000000000011"/>
    <n v="0.35"/>
  </r>
  <r>
    <x v="2"/>
    <x v="2"/>
    <x v="154"/>
    <x v="2"/>
    <s v="Utah"/>
    <s v="Salt Lake City"/>
    <x v="3"/>
    <n v="0.45000000000000007"/>
    <n v="3250"/>
    <x v="137"/>
    <n v="511.87500000000006"/>
    <n v="0.35"/>
  </r>
  <r>
    <x v="2"/>
    <x v="2"/>
    <x v="154"/>
    <x v="2"/>
    <s v="Utah"/>
    <s v="Salt Lake City"/>
    <x v="4"/>
    <n v="0.55000000000000004"/>
    <n v="3000"/>
    <x v="205"/>
    <n v="660.00000000000011"/>
    <n v="0.4"/>
  </r>
  <r>
    <x v="2"/>
    <x v="2"/>
    <x v="154"/>
    <x v="2"/>
    <s v="Utah"/>
    <s v="Salt Lake City"/>
    <x v="5"/>
    <n v="0.60000000000000009"/>
    <n v="3500"/>
    <x v="162"/>
    <n v="630.00000000000011"/>
    <n v="0.3"/>
  </r>
  <r>
    <x v="2"/>
    <x v="2"/>
    <x v="155"/>
    <x v="2"/>
    <s v="Utah"/>
    <s v="Salt Lake City"/>
    <x v="0"/>
    <n v="0.45000000000000007"/>
    <n v="5750"/>
    <x v="339"/>
    <n v="905.62500000000011"/>
    <n v="0.35"/>
  </r>
  <r>
    <x v="2"/>
    <x v="2"/>
    <x v="155"/>
    <x v="2"/>
    <s v="Utah"/>
    <s v="Salt Lake City"/>
    <x v="1"/>
    <n v="0.50000000000000011"/>
    <n v="6500"/>
    <x v="455"/>
    <n v="1137.5000000000002"/>
    <n v="0.35"/>
  </r>
  <r>
    <x v="2"/>
    <x v="2"/>
    <x v="155"/>
    <x v="2"/>
    <s v="Utah"/>
    <s v="Salt Lake City"/>
    <x v="2"/>
    <n v="0.45000000000000007"/>
    <n v="4750"/>
    <x v="466"/>
    <n v="748.12500000000011"/>
    <n v="0.35"/>
  </r>
  <r>
    <x v="2"/>
    <x v="2"/>
    <x v="155"/>
    <x v="2"/>
    <s v="Utah"/>
    <s v="Salt Lake City"/>
    <x v="3"/>
    <n v="0.55000000000000016"/>
    <n v="4500"/>
    <x v="480"/>
    <n v="866.25000000000023"/>
    <n v="0.35"/>
  </r>
  <r>
    <x v="2"/>
    <x v="2"/>
    <x v="155"/>
    <x v="2"/>
    <s v="Utah"/>
    <s v="Salt Lake City"/>
    <x v="4"/>
    <n v="0.75000000000000011"/>
    <n v="4250"/>
    <x v="260"/>
    <n v="1275.0000000000002"/>
    <n v="0.4"/>
  </r>
  <r>
    <x v="2"/>
    <x v="2"/>
    <x v="155"/>
    <x v="2"/>
    <s v="Utah"/>
    <s v="Salt Lake City"/>
    <x v="5"/>
    <n v="0.80000000000000016"/>
    <n v="5500"/>
    <x v="284"/>
    <n v="1320.0000000000002"/>
    <n v="0.3"/>
  </r>
  <r>
    <x v="2"/>
    <x v="2"/>
    <x v="156"/>
    <x v="2"/>
    <s v="Utah"/>
    <s v="Salt Lake City"/>
    <x v="0"/>
    <n v="0.65000000000000013"/>
    <n v="7500"/>
    <x v="483"/>
    <n v="1706.2500000000002"/>
    <n v="0.35"/>
  </r>
  <r>
    <x v="2"/>
    <x v="2"/>
    <x v="156"/>
    <x v="2"/>
    <s v="Utah"/>
    <s v="Salt Lake City"/>
    <x v="1"/>
    <n v="0.75000000000000022"/>
    <n v="7500"/>
    <x v="484"/>
    <n v="1968.7500000000005"/>
    <n v="0.35"/>
  </r>
  <r>
    <x v="2"/>
    <x v="2"/>
    <x v="156"/>
    <x v="2"/>
    <s v="Utah"/>
    <s v="Salt Lake City"/>
    <x v="2"/>
    <n v="0.70000000000000018"/>
    <n v="5500"/>
    <x v="419"/>
    <n v="1347.5000000000002"/>
    <n v="0.35"/>
  </r>
  <r>
    <x v="2"/>
    <x v="2"/>
    <x v="156"/>
    <x v="2"/>
    <s v="Utah"/>
    <s v="Salt Lake City"/>
    <x v="3"/>
    <n v="0.70000000000000018"/>
    <n v="5500"/>
    <x v="419"/>
    <n v="1347.5000000000002"/>
    <n v="0.35"/>
  </r>
  <r>
    <x v="2"/>
    <x v="2"/>
    <x v="156"/>
    <x v="2"/>
    <s v="Utah"/>
    <s v="Salt Lake City"/>
    <x v="4"/>
    <n v="0.80000000000000016"/>
    <n v="4750"/>
    <x v="485"/>
    <n v="1520.0000000000005"/>
    <n v="0.4"/>
  </r>
  <r>
    <x v="2"/>
    <x v="2"/>
    <x v="156"/>
    <x v="2"/>
    <s v="Utah"/>
    <s v="Salt Lake City"/>
    <x v="5"/>
    <n v="0.8500000000000002"/>
    <n v="5750"/>
    <x v="269"/>
    <n v="1466.2500000000002"/>
    <n v="0.3"/>
  </r>
  <r>
    <x v="2"/>
    <x v="2"/>
    <x v="102"/>
    <x v="2"/>
    <s v="Oregon"/>
    <s v="Portland"/>
    <x v="0"/>
    <n v="0.35000000000000003"/>
    <n v="4000"/>
    <x v="159"/>
    <n v="560"/>
    <n v="0.39999999999999997"/>
  </r>
  <r>
    <x v="2"/>
    <x v="2"/>
    <x v="102"/>
    <x v="2"/>
    <s v="Oregon"/>
    <s v="Portland"/>
    <x v="1"/>
    <n v="0.45"/>
    <n v="4000"/>
    <x v="207"/>
    <n v="719.99999999999989"/>
    <n v="0.39999999999999997"/>
  </r>
  <r>
    <x v="2"/>
    <x v="2"/>
    <x v="102"/>
    <x v="2"/>
    <s v="Oregon"/>
    <s v="Portland"/>
    <x v="2"/>
    <n v="0.45"/>
    <n v="4000"/>
    <x v="207"/>
    <n v="719.99999999999989"/>
    <n v="0.39999999999999997"/>
  </r>
  <r>
    <x v="2"/>
    <x v="2"/>
    <x v="102"/>
    <x v="2"/>
    <s v="Oregon"/>
    <s v="Portland"/>
    <x v="3"/>
    <n v="0.45"/>
    <n v="2500"/>
    <x v="127"/>
    <n v="449.99999999999994"/>
    <n v="0.39999999999999997"/>
  </r>
  <r>
    <x v="2"/>
    <x v="2"/>
    <x v="102"/>
    <x v="2"/>
    <s v="Oregon"/>
    <s v="Portland"/>
    <x v="4"/>
    <n v="0.50000000000000011"/>
    <n v="2000"/>
    <x v="322"/>
    <n v="450.00000000000011"/>
    <n v="0.45"/>
  </r>
  <r>
    <x v="2"/>
    <x v="2"/>
    <x v="102"/>
    <x v="2"/>
    <s v="Oregon"/>
    <s v="Portland"/>
    <x v="5"/>
    <n v="0.45"/>
    <n v="4500"/>
    <x v="158"/>
    <n v="708.75"/>
    <n v="0.35"/>
  </r>
  <r>
    <x v="2"/>
    <x v="2"/>
    <x v="103"/>
    <x v="2"/>
    <s v="Oregon"/>
    <s v="Portland"/>
    <x v="0"/>
    <n v="0.35000000000000003"/>
    <n v="5000"/>
    <x v="191"/>
    <n v="700"/>
    <n v="0.39999999999999997"/>
  </r>
  <r>
    <x v="2"/>
    <x v="2"/>
    <x v="103"/>
    <x v="2"/>
    <s v="Oregon"/>
    <s v="Portland"/>
    <x v="1"/>
    <n v="0.45"/>
    <n v="4000"/>
    <x v="207"/>
    <n v="719.99999999999989"/>
    <n v="0.39999999999999997"/>
  </r>
  <r>
    <x v="2"/>
    <x v="2"/>
    <x v="103"/>
    <x v="2"/>
    <s v="Oregon"/>
    <s v="Portland"/>
    <x v="2"/>
    <n v="0.45"/>
    <n v="4000"/>
    <x v="207"/>
    <n v="719.99999999999989"/>
    <n v="0.39999999999999997"/>
  </r>
  <r>
    <x v="2"/>
    <x v="2"/>
    <x v="103"/>
    <x v="2"/>
    <s v="Oregon"/>
    <s v="Portland"/>
    <x v="3"/>
    <n v="0.45"/>
    <n v="2500"/>
    <x v="127"/>
    <n v="449.99999999999994"/>
    <n v="0.39999999999999997"/>
  </r>
  <r>
    <x v="2"/>
    <x v="2"/>
    <x v="103"/>
    <x v="2"/>
    <s v="Oregon"/>
    <s v="Portland"/>
    <x v="4"/>
    <n v="0.50000000000000011"/>
    <n v="1750"/>
    <x v="504"/>
    <n v="393.75000000000011"/>
    <n v="0.45"/>
  </r>
  <r>
    <x v="2"/>
    <x v="2"/>
    <x v="103"/>
    <x v="2"/>
    <s v="Oregon"/>
    <s v="Portland"/>
    <x v="5"/>
    <n v="0.45"/>
    <n v="3750"/>
    <x v="153"/>
    <n v="590.625"/>
    <n v="0.35"/>
  </r>
  <r>
    <x v="2"/>
    <x v="2"/>
    <x v="104"/>
    <x v="2"/>
    <s v="Oregon"/>
    <s v="Portland"/>
    <x v="0"/>
    <n v="0.45"/>
    <n v="5250"/>
    <x v="45"/>
    <n v="944.99999999999989"/>
    <n v="0.39999999999999997"/>
  </r>
  <r>
    <x v="2"/>
    <x v="2"/>
    <x v="104"/>
    <x v="2"/>
    <s v="Oregon"/>
    <s v="Portland"/>
    <x v="1"/>
    <n v="0.55000000000000004"/>
    <n v="3750"/>
    <x v="138"/>
    <n v="824.99999999999989"/>
    <n v="0.39999999999999997"/>
  </r>
  <r>
    <x v="2"/>
    <x v="2"/>
    <x v="104"/>
    <x v="2"/>
    <s v="Oregon"/>
    <s v="Portland"/>
    <x v="2"/>
    <n v="0.6"/>
    <n v="4000"/>
    <x v="50"/>
    <n v="959.99999999999989"/>
    <n v="0.39999999999999997"/>
  </r>
  <r>
    <x v="2"/>
    <x v="2"/>
    <x v="104"/>
    <x v="2"/>
    <s v="Oregon"/>
    <s v="Portland"/>
    <x v="3"/>
    <n v="0.55000000000000004"/>
    <n v="3000"/>
    <x v="205"/>
    <n v="660"/>
    <n v="0.39999999999999997"/>
  </r>
  <r>
    <x v="2"/>
    <x v="2"/>
    <x v="104"/>
    <x v="2"/>
    <s v="Oregon"/>
    <s v="Portland"/>
    <x v="4"/>
    <n v="0.60000000000000009"/>
    <n v="1500"/>
    <x v="395"/>
    <n v="405.00000000000006"/>
    <n v="0.45"/>
  </r>
  <r>
    <x v="2"/>
    <x v="2"/>
    <x v="104"/>
    <x v="2"/>
    <s v="Oregon"/>
    <s v="Portland"/>
    <x v="5"/>
    <n v="0.45"/>
    <n v="3500"/>
    <x v="151"/>
    <n v="551.25"/>
    <n v="0.35"/>
  </r>
  <r>
    <x v="2"/>
    <x v="2"/>
    <x v="105"/>
    <x v="2"/>
    <s v="Oregon"/>
    <s v="Portland"/>
    <x v="0"/>
    <n v="0.5"/>
    <n v="5250"/>
    <x v="48"/>
    <n v="1050"/>
    <n v="0.39999999999999997"/>
  </r>
  <r>
    <x v="2"/>
    <x v="2"/>
    <x v="105"/>
    <x v="2"/>
    <s v="Oregon"/>
    <s v="Portland"/>
    <x v="1"/>
    <n v="0.55000000000000004"/>
    <n v="3250"/>
    <x v="255"/>
    <n v="715"/>
    <n v="0.39999999999999997"/>
  </r>
  <r>
    <x v="2"/>
    <x v="2"/>
    <x v="105"/>
    <x v="2"/>
    <s v="Oregon"/>
    <s v="Portland"/>
    <x v="2"/>
    <n v="0.55000000000000004"/>
    <n v="3750"/>
    <x v="138"/>
    <n v="824.99999999999989"/>
    <n v="0.39999999999999997"/>
  </r>
  <r>
    <x v="2"/>
    <x v="2"/>
    <x v="105"/>
    <x v="2"/>
    <s v="Oregon"/>
    <s v="Portland"/>
    <x v="3"/>
    <n v="0.40000000000000008"/>
    <n v="2750"/>
    <x v="544"/>
    <n v="440.00000000000006"/>
    <n v="0.39999999999999997"/>
  </r>
  <r>
    <x v="2"/>
    <x v="2"/>
    <x v="105"/>
    <x v="2"/>
    <s v="Oregon"/>
    <s v="Portland"/>
    <x v="4"/>
    <n v="0.45000000000000012"/>
    <n v="1750"/>
    <x v="545"/>
    <n v="354.37500000000011"/>
    <n v="0.45"/>
  </r>
  <r>
    <x v="2"/>
    <x v="2"/>
    <x v="105"/>
    <x v="2"/>
    <s v="Oregon"/>
    <s v="Portland"/>
    <x v="5"/>
    <n v="0.60000000000000009"/>
    <n v="3500"/>
    <x v="162"/>
    <n v="735.00000000000011"/>
    <n v="0.35"/>
  </r>
  <r>
    <x v="2"/>
    <x v="2"/>
    <x v="106"/>
    <x v="2"/>
    <s v="Oregon"/>
    <s v="Portland"/>
    <x v="0"/>
    <n v="0.45"/>
    <n v="5500"/>
    <x v="111"/>
    <n v="989.99999999999989"/>
    <n v="0.39999999999999997"/>
  </r>
  <r>
    <x v="2"/>
    <x v="2"/>
    <x v="106"/>
    <x v="2"/>
    <s v="Oregon"/>
    <s v="Portland"/>
    <x v="1"/>
    <n v="0.5"/>
    <n v="4000"/>
    <x v="47"/>
    <n v="799.99999999999989"/>
    <n v="0.39999999999999997"/>
  </r>
  <r>
    <x v="2"/>
    <x v="2"/>
    <x v="106"/>
    <x v="2"/>
    <s v="Oregon"/>
    <s v="Portland"/>
    <x v="2"/>
    <n v="0.5"/>
    <n v="4000"/>
    <x v="47"/>
    <n v="799.99999999999989"/>
    <n v="0.39999999999999997"/>
  </r>
  <r>
    <x v="2"/>
    <x v="2"/>
    <x v="106"/>
    <x v="2"/>
    <s v="Oregon"/>
    <s v="Portland"/>
    <x v="3"/>
    <n v="0.45"/>
    <n v="3250"/>
    <x v="334"/>
    <n v="585"/>
    <n v="0.39999999999999997"/>
  </r>
  <r>
    <x v="2"/>
    <x v="2"/>
    <x v="106"/>
    <x v="2"/>
    <s v="Oregon"/>
    <s v="Portland"/>
    <x v="4"/>
    <n v="0.39999999999999997"/>
    <n v="2250"/>
    <x v="546"/>
    <n v="404.99999999999994"/>
    <n v="0.45"/>
  </r>
  <r>
    <x v="2"/>
    <x v="2"/>
    <x v="106"/>
    <x v="2"/>
    <s v="Oregon"/>
    <s v="Portland"/>
    <x v="5"/>
    <n v="0.65"/>
    <n v="5750"/>
    <x v="90"/>
    <n v="1308.125"/>
    <n v="0.35"/>
  </r>
  <r>
    <x v="2"/>
    <x v="2"/>
    <x v="107"/>
    <x v="2"/>
    <s v="Oregon"/>
    <s v="Portland"/>
    <x v="0"/>
    <n v="0.6"/>
    <n v="8250"/>
    <x v="14"/>
    <n v="1979.9999999999998"/>
    <n v="0.39999999999999997"/>
  </r>
  <r>
    <x v="2"/>
    <x v="2"/>
    <x v="107"/>
    <x v="2"/>
    <s v="Oregon"/>
    <s v="Portland"/>
    <x v="1"/>
    <n v="0.7"/>
    <n v="7000"/>
    <x v="430"/>
    <n v="1959.9999999999998"/>
    <n v="0.39999999999999997"/>
  </r>
  <r>
    <x v="2"/>
    <x v="2"/>
    <x v="107"/>
    <x v="2"/>
    <s v="Oregon"/>
    <s v="Portland"/>
    <x v="2"/>
    <n v="0.85"/>
    <n v="7000"/>
    <x v="307"/>
    <n v="2380"/>
    <n v="0.39999999999999997"/>
  </r>
  <r>
    <x v="2"/>
    <x v="2"/>
    <x v="107"/>
    <x v="2"/>
    <s v="Oregon"/>
    <s v="Portland"/>
    <x v="3"/>
    <n v="0.85"/>
    <n v="5750"/>
    <x v="431"/>
    <n v="1954.9999999999998"/>
    <n v="0.39999999999999997"/>
  </r>
  <r>
    <x v="2"/>
    <x v="2"/>
    <x v="107"/>
    <x v="2"/>
    <s v="Oregon"/>
    <s v="Portland"/>
    <x v="4"/>
    <n v="0.95000000000000007"/>
    <n v="4500"/>
    <x v="60"/>
    <n v="1923.75"/>
    <n v="0.45"/>
  </r>
  <r>
    <x v="2"/>
    <x v="2"/>
    <x v="107"/>
    <x v="2"/>
    <s v="Oregon"/>
    <s v="Portland"/>
    <x v="5"/>
    <n v="1.1000000000000001"/>
    <n v="7500"/>
    <x v="432"/>
    <n v="2887.5"/>
    <n v="0.35"/>
  </r>
  <r>
    <x v="2"/>
    <x v="2"/>
    <x v="108"/>
    <x v="2"/>
    <s v="Oregon"/>
    <s v="Portland"/>
    <x v="0"/>
    <n v="0.9"/>
    <n v="9000"/>
    <x v="433"/>
    <n v="3239.9999999999995"/>
    <n v="0.39999999999999997"/>
  </r>
  <r>
    <x v="2"/>
    <x v="2"/>
    <x v="108"/>
    <x v="2"/>
    <s v="Oregon"/>
    <s v="Portland"/>
    <x v="1"/>
    <n v="0.95000000000000007"/>
    <n v="7500"/>
    <x v="434"/>
    <n v="2850"/>
    <n v="0.39999999999999997"/>
  </r>
  <r>
    <x v="2"/>
    <x v="2"/>
    <x v="108"/>
    <x v="2"/>
    <s v="Oregon"/>
    <s v="Portland"/>
    <x v="2"/>
    <n v="0.95000000000000007"/>
    <n v="7000"/>
    <x v="435"/>
    <n v="2660"/>
    <n v="0.39999999999999997"/>
  </r>
  <r>
    <x v="2"/>
    <x v="2"/>
    <x v="108"/>
    <x v="2"/>
    <s v="Oregon"/>
    <s v="Portland"/>
    <x v="3"/>
    <n v="0.9"/>
    <n v="6000"/>
    <x v="4"/>
    <n v="2160"/>
    <n v="0.39999999999999997"/>
  </r>
  <r>
    <x v="2"/>
    <x v="2"/>
    <x v="108"/>
    <x v="2"/>
    <s v="Oregon"/>
    <s v="Portland"/>
    <x v="4"/>
    <n v="0.95000000000000007"/>
    <n v="6500"/>
    <x v="436"/>
    <n v="2778.75"/>
    <n v="0.45"/>
  </r>
  <r>
    <x v="2"/>
    <x v="2"/>
    <x v="108"/>
    <x v="2"/>
    <s v="Oregon"/>
    <s v="Portland"/>
    <x v="5"/>
    <n v="1.1000000000000001"/>
    <n v="6500"/>
    <x v="437"/>
    <n v="2502.5"/>
    <n v="0.35"/>
  </r>
  <r>
    <x v="2"/>
    <x v="2"/>
    <x v="109"/>
    <x v="2"/>
    <s v="Oregon"/>
    <s v="Portland"/>
    <x v="0"/>
    <n v="0.95000000000000007"/>
    <n v="8500"/>
    <x v="438"/>
    <n v="3230"/>
    <n v="0.39999999999999997"/>
  </r>
  <r>
    <x v="2"/>
    <x v="2"/>
    <x v="109"/>
    <x v="2"/>
    <s v="Oregon"/>
    <s v="Portland"/>
    <x v="1"/>
    <n v="0.85000000000000009"/>
    <n v="8250"/>
    <x v="439"/>
    <n v="2805"/>
    <n v="0.39999999999999997"/>
  </r>
  <r>
    <x v="2"/>
    <x v="2"/>
    <x v="109"/>
    <x v="2"/>
    <s v="Oregon"/>
    <s v="Portland"/>
    <x v="2"/>
    <n v="0.75000000000000011"/>
    <n v="7000"/>
    <x v="103"/>
    <n v="2100"/>
    <n v="0.39999999999999997"/>
  </r>
  <r>
    <x v="2"/>
    <x v="2"/>
    <x v="109"/>
    <x v="2"/>
    <s v="Oregon"/>
    <s v="Portland"/>
    <x v="3"/>
    <n v="0.75000000000000011"/>
    <n v="4750"/>
    <x v="228"/>
    <n v="1425"/>
    <n v="0.39999999999999997"/>
  </r>
  <r>
    <x v="2"/>
    <x v="2"/>
    <x v="109"/>
    <x v="2"/>
    <s v="Oregon"/>
    <s v="Portland"/>
    <x v="4"/>
    <n v="0.64999999999999991"/>
    <n v="4750"/>
    <x v="547"/>
    <n v="1389.3749999999998"/>
    <n v="0.45"/>
  </r>
  <r>
    <x v="2"/>
    <x v="2"/>
    <x v="109"/>
    <x v="2"/>
    <s v="Oregon"/>
    <s v="Portland"/>
    <x v="5"/>
    <n v="0.7"/>
    <n v="3000"/>
    <x v="193"/>
    <n v="735"/>
    <n v="0.35"/>
  </r>
  <r>
    <x v="2"/>
    <x v="2"/>
    <x v="110"/>
    <x v="2"/>
    <s v="Oregon"/>
    <s v="Portland"/>
    <x v="0"/>
    <n v="0.45000000000000012"/>
    <n v="5000"/>
    <x v="223"/>
    <n v="900.00000000000011"/>
    <n v="0.39999999999999997"/>
  </r>
  <r>
    <x v="2"/>
    <x v="2"/>
    <x v="110"/>
    <x v="2"/>
    <s v="Oregon"/>
    <s v="Portland"/>
    <x v="1"/>
    <n v="0.50000000000000011"/>
    <n v="5000"/>
    <x v="457"/>
    <n v="1000.0000000000001"/>
    <n v="0.39999999999999997"/>
  </r>
  <r>
    <x v="2"/>
    <x v="2"/>
    <x v="110"/>
    <x v="2"/>
    <s v="Oregon"/>
    <s v="Portland"/>
    <x v="2"/>
    <n v="0.45000000000000012"/>
    <n v="3000"/>
    <x v="548"/>
    <n v="540.00000000000011"/>
    <n v="0.39999999999999997"/>
  </r>
  <r>
    <x v="2"/>
    <x v="2"/>
    <x v="110"/>
    <x v="2"/>
    <s v="Oregon"/>
    <s v="Portland"/>
    <x v="3"/>
    <n v="0.45000000000000012"/>
    <n v="2500"/>
    <x v="133"/>
    <n v="450.00000000000006"/>
    <n v="0.39999999999999997"/>
  </r>
  <r>
    <x v="2"/>
    <x v="2"/>
    <x v="110"/>
    <x v="2"/>
    <s v="Oregon"/>
    <s v="Portland"/>
    <x v="4"/>
    <n v="0.55000000000000004"/>
    <n v="2750"/>
    <x v="408"/>
    <n v="680.62500000000011"/>
    <n v="0.45"/>
  </r>
  <r>
    <x v="2"/>
    <x v="2"/>
    <x v="110"/>
    <x v="2"/>
    <s v="Oregon"/>
    <s v="Portland"/>
    <x v="5"/>
    <n v="0.39999999999999997"/>
    <n v="3000"/>
    <x v="147"/>
    <n v="420"/>
    <n v="0.35"/>
  </r>
  <r>
    <x v="2"/>
    <x v="2"/>
    <x v="111"/>
    <x v="2"/>
    <s v="Oregon"/>
    <s v="Portland"/>
    <x v="0"/>
    <n v="0.35000000000000003"/>
    <n v="4000"/>
    <x v="159"/>
    <n v="560"/>
    <n v="0.39999999999999997"/>
  </r>
  <r>
    <x v="2"/>
    <x v="2"/>
    <x v="111"/>
    <x v="2"/>
    <s v="Oregon"/>
    <s v="Portland"/>
    <x v="1"/>
    <n v="0.50000000000000011"/>
    <n v="5750"/>
    <x v="460"/>
    <n v="1150"/>
    <n v="0.39999999999999997"/>
  </r>
  <r>
    <x v="2"/>
    <x v="2"/>
    <x v="111"/>
    <x v="2"/>
    <s v="Oregon"/>
    <s v="Portland"/>
    <x v="2"/>
    <n v="0.45000000000000012"/>
    <n v="4000"/>
    <x v="549"/>
    <n v="720.00000000000011"/>
    <n v="0.39999999999999997"/>
  </r>
  <r>
    <x v="2"/>
    <x v="2"/>
    <x v="111"/>
    <x v="2"/>
    <s v="Oregon"/>
    <s v="Portland"/>
    <x v="3"/>
    <n v="0.40000000000000008"/>
    <n v="3750"/>
    <x v="192"/>
    <n v="600"/>
    <n v="0.39999999999999997"/>
  </r>
  <r>
    <x v="2"/>
    <x v="2"/>
    <x v="111"/>
    <x v="2"/>
    <s v="Oregon"/>
    <s v="Portland"/>
    <x v="4"/>
    <n v="0.5"/>
    <n v="3500"/>
    <x v="157"/>
    <n v="787.5"/>
    <n v="0.45"/>
  </r>
  <r>
    <x v="2"/>
    <x v="2"/>
    <x v="111"/>
    <x v="2"/>
    <s v="Oregon"/>
    <s v="Portland"/>
    <x v="5"/>
    <n v="0.55000000000000004"/>
    <n v="4000"/>
    <x v="42"/>
    <n v="770"/>
    <n v="0.35"/>
  </r>
  <r>
    <x v="2"/>
    <x v="2"/>
    <x v="112"/>
    <x v="2"/>
    <s v="Oregon"/>
    <s v="Portland"/>
    <x v="0"/>
    <n v="0.40000000000000008"/>
    <n v="6250"/>
    <x v="457"/>
    <n v="1000.0000000000001"/>
    <n v="0.39999999999999997"/>
  </r>
  <r>
    <x v="2"/>
    <x v="2"/>
    <x v="112"/>
    <x v="2"/>
    <s v="Oregon"/>
    <s v="Portland"/>
    <x v="1"/>
    <n v="0.45000000000000012"/>
    <n v="7000"/>
    <x v="277"/>
    <n v="1260.0000000000002"/>
    <n v="0.39999999999999997"/>
  </r>
  <r>
    <x v="2"/>
    <x v="2"/>
    <x v="112"/>
    <x v="2"/>
    <s v="Oregon"/>
    <s v="Portland"/>
    <x v="2"/>
    <n v="0.40000000000000008"/>
    <n v="5250"/>
    <x v="162"/>
    <n v="840.00000000000011"/>
    <n v="0.39999999999999997"/>
  </r>
  <r>
    <x v="2"/>
    <x v="2"/>
    <x v="112"/>
    <x v="2"/>
    <s v="Oregon"/>
    <s v="Portland"/>
    <x v="3"/>
    <n v="0.50000000000000011"/>
    <n v="5000"/>
    <x v="457"/>
    <n v="1000.0000000000001"/>
    <n v="0.39999999999999997"/>
  </r>
  <r>
    <x v="2"/>
    <x v="2"/>
    <x v="112"/>
    <x v="2"/>
    <s v="Oregon"/>
    <s v="Portland"/>
    <x v="4"/>
    <n v="0.70000000000000007"/>
    <n v="4750"/>
    <x v="204"/>
    <n v="1496.2500000000002"/>
    <n v="0.45"/>
  </r>
  <r>
    <x v="2"/>
    <x v="2"/>
    <x v="112"/>
    <x v="2"/>
    <s v="Oregon"/>
    <s v="Portland"/>
    <x v="5"/>
    <n v="0.8500000000000002"/>
    <n v="6000"/>
    <x v="414"/>
    <n v="1785.0000000000002"/>
    <n v="0.35"/>
  </r>
  <r>
    <x v="2"/>
    <x v="2"/>
    <x v="113"/>
    <x v="2"/>
    <s v="Oregon"/>
    <s v="Portland"/>
    <x v="0"/>
    <n v="0.70000000000000018"/>
    <n v="8000"/>
    <x v="550"/>
    <n v="2240.0000000000005"/>
    <n v="0.39999999999999997"/>
  </r>
  <r>
    <x v="2"/>
    <x v="2"/>
    <x v="113"/>
    <x v="2"/>
    <s v="Oregon"/>
    <s v="Portland"/>
    <x v="1"/>
    <n v="0.80000000000000027"/>
    <n v="8000"/>
    <x v="551"/>
    <n v="2560.0000000000005"/>
    <n v="0.39999999999999997"/>
  </r>
  <r>
    <x v="2"/>
    <x v="2"/>
    <x v="113"/>
    <x v="2"/>
    <s v="Oregon"/>
    <s v="Portland"/>
    <x v="2"/>
    <n v="0.75000000000000022"/>
    <n v="6000"/>
    <x v="276"/>
    <n v="1800.0000000000002"/>
    <n v="0.39999999999999997"/>
  </r>
  <r>
    <x v="2"/>
    <x v="2"/>
    <x v="113"/>
    <x v="2"/>
    <s v="Oregon"/>
    <s v="Portland"/>
    <x v="3"/>
    <n v="0.75000000000000022"/>
    <n v="6000"/>
    <x v="276"/>
    <n v="1800.0000000000002"/>
    <n v="0.39999999999999997"/>
  </r>
  <r>
    <x v="2"/>
    <x v="2"/>
    <x v="113"/>
    <x v="2"/>
    <s v="Oregon"/>
    <s v="Portland"/>
    <x v="4"/>
    <n v="0.8500000000000002"/>
    <n v="5250"/>
    <x v="245"/>
    <n v="2008.1250000000005"/>
    <n v="0.45"/>
  </r>
  <r>
    <x v="2"/>
    <x v="2"/>
    <x v="113"/>
    <x v="2"/>
    <s v="Oregon"/>
    <s v="Portland"/>
    <x v="5"/>
    <n v="0.90000000000000024"/>
    <n v="6250"/>
    <x v="484"/>
    <n v="1968.7500000000005"/>
    <n v="0.35"/>
  </r>
  <r>
    <x v="1"/>
    <x v="1"/>
    <x v="58"/>
    <x v="1"/>
    <s v="Louisiana"/>
    <s v="New Orleans"/>
    <x v="0"/>
    <n v="0.2"/>
    <n v="6750"/>
    <x v="198"/>
    <n v="405"/>
    <n v="0.3"/>
  </r>
  <r>
    <x v="1"/>
    <x v="1"/>
    <x v="58"/>
    <x v="1"/>
    <s v="Louisiana"/>
    <s v="New Orleans"/>
    <x v="1"/>
    <n v="0.3"/>
    <n v="6750"/>
    <x v="158"/>
    <n v="607.5"/>
    <n v="0.3"/>
  </r>
  <r>
    <x v="1"/>
    <x v="1"/>
    <x v="58"/>
    <x v="1"/>
    <s v="Louisiana"/>
    <s v="New Orleans"/>
    <x v="2"/>
    <n v="0.3"/>
    <n v="4750"/>
    <x v="341"/>
    <n v="427.5"/>
    <n v="0.3"/>
  </r>
  <r>
    <x v="1"/>
    <x v="1"/>
    <x v="58"/>
    <x v="1"/>
    <s v="Louisiana"/>
    <s v="New Orleans"/>
    <x v="3"/>
    <n v="0.35"/>
    <n v="4750"/>
    <x v="155"/>
    <n v="665"/>
    <n v="0.4"/>
  </r>
  <r>
    <x v="1"/>
    <x v="1"/>
    <x v="58"/>
    <x v="1"/>
    <s v="Louisiana"/>
    <s v="New Orleans"/>
    <x v="4"/>
    <n v="0.4"/>
    <n v="3250"/>
    <x v="194"/>
    <n v="325"/>
    <n v="0.25"/>
  </r>
  <r>
    <x v="1"/>
    <x v="1"/>
    <x v="58"/>
    <x v="1"/>
    <s v="Louisiana"/>
    <s v="New Orleans"/>
    <x v="5"/>
    <n v="0.35"/>
    <n v="4750"/>
    <x v="155"/>
    <n v="748.125"/>
    <n v="0.45"/>
  </r>
  <r>
    <x v="1"/>
    <x v="1"/>
    <x v="172"/>
    <x v="1"/>
    <s v="Louisiana"/>
    <s v="New Orleans"/>
    <x v="0"/>
    <n v="0.25"/>
    <n v="6250"/>
    <x v="384"/>
    <n v="468.75"/>
    <n v="0.3"/>
  </r>
  <r>
    <x v="1"/>
    <x v="1"/>
    <x v="172"/>
    <x v="1"/>
    <s v="Louisiana"/>
    <s v="New Orleans"/>
    <x v="1"/>
    <n v="0.35"/>
    <n v="6000"/>
    <x v="193"/>
    <n v="630"/>
    <n v="0.3"/>
  </r>
  <r>
    <x v="1"/>
    <x v="1"/>
    <x v="172"/>
    <x v="1"/>
    <s v="Louisiana"/>
    <s v="New Orleans"/>
    <x v="2"/>
    <n v="0.35"/>
    <n v="4250"/>
    <x v="156"/>
    <n v="446.25"/>
    <n v="0.3"/>
  </r>
  <r>
    <x v="1"/>
    <x v="1"/>
    <x v="172"/>
    <x v="1"/>
    <s v="Louisiana"/>
    <s v="New Orleans"/>
    <x v="3"/>
    <n v="0.35"/>
    <n v="3750"/>
    <x v="385"/>
    <n v="525"/>
    <n v="0.4"/>
  </r>
  <r>
    <x v="1"/>
    <x v="1"/>
    <x v="172"/>
    <x v="1"/>
    <s v="Louisiana"/>
    <s v="New Orleans"/>
    <x v="4"/>
    <n v="0.4"/>
    <n v="2500"/>
    <x v="123"/>
    <n v="250"/>
    <n v="0.25"/>
  </r>
  <r>
    <x v="1"/>
    <x v="1"/>
    <x v="172"/>
    <x v="1"/>
    <s v="Louisiana"/>
    <s v="New Orleans"/>
    <x v="5"/>
    <n v="0.35"/>
    <n v="4500"/>
    <x v="151"/>
    <n v="708.75"/>
    <n v="0.45"/>
  </r>
  <r>
    <x v="1"/>
    <x v="1"/>
    <x v="173"/>
    <x v="1"/>
    <s v="Louisiana"/>
    <s v="New Orleans"/>
    <x v="0"/>
    <n v="0.3"/>
    <n v="6250"/>
    <x v="203"/>
    <n v="656.25"/>
    <n v="0.35"/>
  </r>
  <r>
    <x v="1"/>
    <x v="1"/>
    <x v="173"/>
    <x v="1"/>
    <s v="Louisiana"/>
    <s v="New Orleans"/>
    <x v="1"/>
    <n v="0.4"/>
    <n v="6250"/>
    <x v="54"/>
    <n v="875"/>
    <n v="0.35"/>
  </r>
  <r>
    <x v="1"/>
    <x v="1"/>
    <x v="173"/>
    <x v="1"/>
    <s v="Louisiana"/>
    <s v="New Orleans"/>
    <x v="2"/>
    <n v="0.3"/>
    <n v="4500"/>
    <x v="198"/>
    <n v="472.49999999999994"/>
    <n v="0.35"/>
  </r>
  <r>
    <x v="1"/>
    <x v="1"/>
    <x v="173"/>
    <x v="1"/>
    <s v="Louisiana"/>
    <s v="New Orleans"/>
    <x v="3"/>
    <n v="0.35000000000000003"/>
    <n v="3500"/>
    <x v="206"/>
    <n v="551.25000000000011"/>
    <n v="0.45"/>
  </r>
  <r>
    <x v="1"/>
    <x v="1"/>
    <x v="173"/>
    <x v="1"/>
    <s v="Louisiana"/>
    <s v="New Orleans"/>
    <x v="4"/>
    <n v="0.4"/>
    <n v="2500"/>
    <x v="123"/>
    <n v="300"/>
    <n v="0.3"/>
  </r>
  <r>
    <x v="1"/>
    <x v="1"/>
    <x v="173"/>
    <x v="1"/>
    <s v="Louisiana"/>
    <s v="New Orleans"/>
    <x v="5"/>
    <n v="0.35000000000000003"/>
    <n v="4000"/>
    <x v="159"/>
    <n v="700.00000000000011"/>
    <n v="0.5"/>
  </r>
  <r>
    <x v="1"/>
    <x v="1"/>
    <x v="60"/>
    <x v="1"/>
    <s v="Louisiana"/>
    <s v="New Orleans"/>
    <x v="0"/>
    <n v="0.19999999999999998"/>
    <n v="6500"/>
    <x v="194"/>
    <n v="454.99999999999994"/>
    <n v="0.35"/>
  </r>
  <r>
    <x v="1"/>
    <x v="1"/>
    <x v="60"/>
    <x v="1"/>
    <s v="Louisiana"/>
    <s v="New Orleans"/>
    <x v="1"/>
    <n v="0.30000000000000004"/>
    <n v="6500"/>
    <x v="470"/>
    <n v="682.5"/>
    <n v="0.35"/>
  </r>
  <r>
    <x v="1"/>
    <x v="1"/>
    <x v="60"/>
    <x v="1"/>
    <s v="Louisiana"/>
    <s v="New Orleans"/>
    <x v="2"/>
    <n v="0.24999999999999997"/>
    <n v="4750"/>
    <x v="552"/>
    <n v="415.62499999999989"/>
    <n v="0.35"/>
  </r>
  <r>
    <x v="1"/>
    <x v="1"/>
    <x v="60"/>
    <x v="1"/>
    <s v="Louisiana"/>
    <s v="New Orleans"/>
    <x v="3"/>
    <n v="0.30000000000000004"/>
    <n v="3750"/>
    <x v="133"/>
    <n v="506.25000000000011"/>
    <n v="0.45"/>
  </r>
  <r>
    <x v="1"/>
    <x v="1"/>
    <x v="60"/>
    <x v="1"/>
    <s v="Louisiana"/>
    <s v="New Orleans"/>
    <x v="4"/>
    <n v="0.35"/>
    <n v="2750"/>
    <x v="119"/>
    <n v="288.74999999999994"/>
    <n v="0.3"/>
  </r>
  <r>
    <x v="1"/>
    <x v="1"/>
    <x v="60"/>
    <x v="1"/>
    <s v="Louisiana"/>
    <s v="New Orleans"/>
    <x v="5"/>
    <n v="0.30000000000000004"/>
    <n v="5500"/>
    <x v="205"/>
    <n v="825.00000000000011"/>
    <n v="0.5"/>
  </r>
  <r>
    <x v="1"/>
    <x v="1"/>
    <x v="174"/>
    <x v="1"/>
    <s v="Louisiana"/>
    <s v="New Orleans"/>
    <x v="0"/>
    <n v="0.19999999999999998"/>
    <n v="7000"/>
    <x v="161"/>
    <n v="489.99999999999989"/>
    <n v="0.35"/>
  </r>
  <r>
    <x v="1"/>
    <x v="1"/>
    <x v="174"/>
    <x v="1"/>
    <s v="Louisiana"/>
    <s v="New Orleans"/>
    <x v="1"/>
    <n v="0.30000000000000004"/>
    <n v="7250"/>
    <x v="553"/>
    <n v="761.25000000000011"/>
    <n v="0.35"/>
  </r>
  <r>
    <x v="1"/>
    <x v="1"/>
    <x v="174"/>
    <x v="1"/>
    <s v="Louisiana"/>
    <s v="New Orleans"/>
    <x v="2"/>
    <n v="0.24999999999999997"/>
    <n v="5750"/>
    <x v="554"/>
    <n v="503.12499999999989"/>
    <n v="0.35"/>
  </r>
  <r>
    <x v="1"/>
    <x v="1"/>
    <x v="174"/>
    <x v="1"/>
    <s v="Louisiana"/>
    <s v="New Orleans"/>
    <x v="3"/>
    <n v="0.35000000000000003"/>
    <n v="5000"/>
    <x v="191"/>
    <n v="787.50000000000011"/>
    <n v="0.45"/>
  </r>
  <r>
    <x v="1"/>
    <x v="1"/>
    <x v="174"/>
    <x v="1"/>
    <s v="Louisiana"/>
    <s v="New Orleans"/>
    <x v="4"/>
    <n v="0.5"/>
    <n v="4000"/>
    <x v="47"/>
    <n v="600"/>
    <n v="0.3"/>
  </r>
  <r>
    <x v="1"/>
    <x v="1"/>
    <x v="174"/>
    <x v="1"/>
    <s v="Louisiana"/>
    <s v="New Orleans"/>
    <x v="5"/>
    <n v="0.45"/>
    <n v="7500"/>
    <x v="73"/>
    <n v="1687.5"/>
    <n v="0.5"/>
  </r>
  <r>
    <x v="1"/>
    <x v="1"/>
    <x v="175"/>
    <x v="1"/>
    <s v="Louisiana"/>
    <s v="New Orleans"/>
    <x v="0"/>
    <n v="0.45"/>
    <n v="7500"/>
    <x v="73"/>
    <n v="1181.25"/>
    <n v="0.35"/>
  </r>
  <r>
    <x v="1"/>
    <x v="1"/>
    <x v="175"/>
    <x v="1"/>
    <s v="Louisiana"/>
    <s v="New Orleans"/>
    <x v="1"/>
    <n v="0.5"/>
    <n v="7500"/>
    <x v="69"/>
    <n v="1312.5"/>
    <n v="0.35"/>
  </r>
  <r>
    <x v="1"/>
    <x v="1"/>
    <x v="175"/>
    <x v="1"/>
    <s v="Louisiana"/>
    <s v="New Orleans"/>
    <x v="2"/>
    <n v="0.5"/>
    <n v="6000"/>
    <x v="61"/>
    <n v="1050"/>
    <n v="0.35"/>
  </r>
  <r>
    <x v="1"/>
    <x v="1"/>
    <x v="175"/>
    <x v="1"/>
    <s v="Louisiana"/>
    <s v="New Orleans"/>
    <x v="3"/>
    <n v="0.5"/>
    <n v="5500"/>
    <x v="80"/>
    <n v="1237.5"/>
    <n v="0.45"/>
  </r>
  <r>
    <x v="1"/>
    <x v="1"/>
    <x v="175"/>
    <x v="1"/>
    <s v="Louisiana"/>
    <s v="New Orleans"/>
    <x v="4"/>
    <n v="0.55000000000000004"/>
    <n v="4500"/>
    <x v="111"/>
    <n v="742.5"/>
    <n v="0.3"/>
  </r>
  <r>
    <x v="1"/>
    <x v="1"/>
    <x v="175"/>
    <x v="1"/>
    <s v="Louisiana"/>
    <s v="New Orleans"/>
    <x v="5"/>
    <n v="0.60000000000000009"/>
    <n v="8250"/>
    <x v="301"/>
    <n v="2475.0000000000005"/>
    <n v="0.5"/>
  </r>
  <r>
    <x v="1"/>
    <x v="1"/>
    <x v="176"/>
    <x v="1"/>
    <s v="Louisiana"/>
    <s v="New Orleans"/>
    <x v="0"/>
    <n v="0.5"/>
    <n v="7750"/>
    <x v="75"/>
    <n v="1549.9999999999998"/>
    <n v="0.39999999999999997"/>
  </r>
  <r>
    <x v="1"/>
    <x v="1"/>
    <x v="176"/>
    <x v="1"/>
    <s v="Louisiana"/>
    <s v="New Orleans"/>
    <x v="1"/>
    <n v="0.55000000000000004"/>
    <n v="7750"/>
    <x v="100"/>
    <n v="1704.9999999999998"/>
    <n v="0.39999999999999997"/>
  </r>
  <r>
    <x v="1"/>
    <x v="1"/>
    <x v="176"/>
    <x v="1"/>
    <s v="Louisiana"/>
    <s v="New Orleans"/>
    <x v="2"/>
    <n v="0.5"/>
    <n v="9250"/>
    <x v="10"/>
    <n v="1849.9999999999998"/>
    <n v="0.39999999999999997"/>
  </r>
  <r>
    <x v="1"/>
    <x v="1"/>
    <x v="176"/>
    <x v="1"/>
    <s v="Louisiana"/>
    <s v="New Orleans"/>
    <x v="3"/>
    <n v="0.5"/>
    <n v="5250"/>
    <x v="48"/>
    <n v="1312.5"/>
    <n v="0.5"/>
  </r>
  <r>
    <x v="1"/>
    <x v="1"/>
    <x v="176"/>
    <x v="1"/>
    <s v="Louisiana"/>
    <s v="New Orleans"/>
    <x v="4"/>
    <n v="0.55000000000000004"/>
    <n v="5250"/>
    <x v="170"/>
    <n v="1010.6250000000001"/>
    <n v="0.35"/>
  </r>
  <r>
    <x v="1"/>
    <x v="1"/>
    <x v="176"/>
    <x v="1"/>
    <s v="Louisiana"/>
    <s v="New Orleans"/>
    <x v="5"/>
    <n v="0.65"/>
    <n v="8000"/>
    <x v="97"/>
    <n v="2860.0000000000005"/>
    <n v="0.55000000000000004"/>
  </r>
  <r>
    <x v="1"/>
    <x v="1"/>
    <x v="177"/>
    <x v="1"/>
    <s v="Louisiana"/>
    <s v="New Orleans"/>
    <x v="0"/>
    <n v="0.5"/>
    <n v="7500"/>
    <x v="69"/>
    <n v="1499.9999999999998"/>
    <n v="0.39999999999999997"/>
  </r>
  <r>
    <x v="1"/>
    <x v="1"/>
    <x v="177"/>
    <x v="1"/>
    <s v="Louisiana"/>
    <s v="New Orleans"/>
    <x v="1"/>
    <n v="0.55000000000000004"/>
    <n v="7500"/>
    <x v="71"/>
    <n v="1649.9999999999998"/>
    <n v="0.39999999999999997"/>
  </r>
  <r>
    <x v="1"/>
    <x v="1"/>
    <x v="177"/>
    <x v="1"/>
    <s v="Louisiana"/>
    <s v="New Orleans"/>
    <x v="2"/>
    <n v="0.5"/>
    <n v="9250"/>
    <x v="10"/>
    <n v="1849.9999999999998"/>
    <n v="0.39999999999999997"/>
  </r>
  <r>
    <x v="1"/>
    <x v="1"/>
    <x v="177"/>
    <x v="1"/>
    <s v="Louisiana"/>
    <s v="New Orleans"/>
    <x v="3"/>
    <n v="0.5"/>
    <n v="4750"/>
    <x v="351"/>
    <n v="1187.5"/>
    <n v="0.5"/>
  </r>
  <r>
    <x v="1"/>
    <x v="1"/>
    <x v="177"/>
    <x v="1"/>
    <s v="Louisiana"/>
    <s v="New Orleans"/>
    <x v="4"/>
    <n v="0.55000000000000004"/>
    <n v="4750"/>
    <x v="356"/>
    <n v="914.37499999999989"/>
    <n v="0.35"/>
  </r>
  <r>
    <x v="1"/>
    <x v="1"/>
    <x v="177"/>
    <x v="1"/>
    <s v="Louisiana"/>
    <s v="New Orleans"/>
    <x v="5"/>
    <n v="0.6"/>
    <n v="7250"/>
    <x v="92"/>
    <n v="2392.5"/>
    <n v="0.55000000000000004"/>
  </r>
  <r>
    <x v="1"/>
    <x v="1"/>
    <x v="178"/>
    <x v="1"/>
    <s v="Louisiana"/>
    <s v="New Orleans"/>
    <x v="0"/>
    <n v="0.55000000000000004"/>
    <n v="6750"/>
    <x v="105"/>
    <n v="1485"/>
    <n v="0.39999999999999997"/>
  </r>
  <r>
    <x v="1"/>
    <x v="1"/>
    <x v="178"/>
    <x v="1"/>
    <s v="Louisiana"/>
    <s v="New Orleans"/>
    <x v="1"/>
    <n v="0.55000000000000004"/>
    <n v="6250"/>
    <x v="337"/>
    <n v="1375"/>
    <n v="0.39999999999999997"/>
  </r>
  <r>
    <x v="1"/>
    <x v="1"/>
    <x v="178"/>
    <x v="1"/>
    <s v="Louisiana"/>
    <s v="New Orleans"/>
    <x v="2"/>
    <n v="0.6"/>
    <n v="6750"/>
    <x v="72"/>
    <n v="1619.9999999999998"/>
    <n v="0.39999999999999997"/>
  </r>
  <r>
    <x v="1"/>
    <x v="1"/>
    <x v="178"/>
    <x v="1"/>
    <s v="Louisiana"/>
    <s v="New Orleans"/>
    <x v="3"/>
    <n v="0.6"/>
    <n v="4000"/>
    <x v="50"/>
    <n v="1200"/>
    <n v="0.5"/>
  </r>
  <r>
    <x v="1"/>
    <x v="1"/>
    <x v="178"/>
    <x v="1"/>
    <s v="Louisiana"/>
    <s v="New Orleans"/>
    <x v="4"/>
    <n v="0.55000000000000004"/>
    <n v="4000"/>
    <x v="42"/>
    <n v="770"/>
    <n v="0.35"/>
  </r>
  <r>
    <x v="1"/>
    <x v="1"/>
    <x v="178"/>
    <x v="1"/>
    <s v="Louisiana"/>
    <s v="New Orleans"/>
    <x v="5"/>
    <n v="0.5"/>
    <n v="6250"/>
    <x v="66"/>
    <n v="1718.7500000000002"/>
    <n v="0.55000000000000004"/>
  </r>
  <r>
    <x v="1"/>
    <x v="1"/>
    <x v="179"/>
    <x v="1"/>
    <s v="Louisiana"/>
    <s v="New Orleans"/>
    <x v="0"/>
    <n v="0.4"/>
    <n v="5750"/>
    <x v="336"/>
    <n v="919.99999999999989"/>
    <n v="0.39999999999999997"/>
  </r>
  <r>
    <x v="1"/>
    <x v="1"/>
    <x v="179"/>
    <x v="1"/>
    <s v="Louisiana"/>
    <s v="New Orleans"/>
    <x v="1"/>
    <n v="0.4"/>
    <n v="5750"/>
    <x v="336"/>
    <n v="919.99999999999989"/>
    <n v="0.39999999999999997"/>
  </r>
  <r>
    <x v="1"/>
    <x v="1"/>
    <x v="179"/>
    <x v="1"/>
    <s v="Louisiana"/>
    <s v="New Orleans"/>
    <x v="2"/>
    <n v="0.45"/>
    <n v="5250"/>
    <x v="45"/>
    <n v="944.99999999999989"/>
    <n v="0.39999999999999997"/>
  </r>
  <r>
    <x v="1"/>
    <x v="1"/>
    <x v="179"/>
    <x v="1"/>
    <s v="Louisiana"/>
    <s v="New Orleans"/>
    <x v="3"/>
    <n v="0.45"/>
    <n v="3750"/>
    <x v="153"/>
    <n v="843.75"/>
    <n v="0.5"/>
  </r>
  <r>
    <x v="1"/>
    <x v="1"/>
    <x v="179"/>
    <x v="1"/>
    <s v="Louisiana"/>
    <s v="New Orleans"/>
    <x v="4"/>
    <n v="0.35000000000000003"/>
    <n v="3500"/>
    <x v="206"/>
    <n v="428.75000000000006"/>
    <n v="0.35"/>
  </r>
  <r>
    <x v="1"/>
    <x v="1"/>
    <x v="179"/>
    <x v="1"/>
    <s v="Louisiana"/>
    <s v="New Orleans"/>
    <x v="5"/>
    <n v="0.45"/>
    <n v="5250"/>
    <x v="45"/>
    <n v="1299.375"/>
    <n v="0.55000000000000004"/>
  </r>
  <r>
    <x v="1"/>
    <x v="1"/>
    <x v="64"/>
    <x v="1"/>
    <s v="Louisiana"/>
    <s v="New Orleans"/>
    <x v="0"/>
    <n v="0.35000000000000003"/>
    <n v="6750"/>
    <x v="45"/>
    <n v="944.99999999999989"/>
    <n v="0.39999999999999997"/>
  </r>
  <r>
    <x v="1"/>
    <x v="1"/>
    <x v="64"/>
    <x v="1"/>
    <s v="Louisiana"/>
    <s v="New Orleans"/>
    <x v="1"/>
    <n v="0.35000000000000003"/>
    <n v="6750"/>
    <x v="45"/>
    <n v="944.99999999999989"/>
    <n v="0.39999999999999997"/>
  </r>
  <r>
    <x v="1"/>
    <x v="1"/>
    <x v="64"/>
    <x v="1"/>
    <s v="Louisiana"/>
    <s v="New Orleans"/>
    <x v="2"/>
    <n v="0.6"/>
    <n v="6000"/>
    <x v="11"/>
    <n v="1439.9999999999998"/>
    <n v="0.39999999999999997"/>
  </r>
  <r>
    <x v="1"/>
    <x v="1"/>
    <x v="64"/>
    <x v="1"/>
    <s v="Louisiana"/>
    <s v="New Orleans"/>
    <x v="3"/>
    <n v="0.6"/>
    <n v="4500"/>
    <x v="52"/>
    <n v="1350"/>
    <n v="0.5"/>
  </r>
  <r>
    <x v="1"/>
    <x v="1"/>
    <x v="64"/>
    <x v="1"/>
    <s v="Louisiana"/>
    <s v="New Orleans"/>
    <x v="4"/>
    <n v="0.54999999999999993"/>
    <n v="4250"/>
    <x v="338"/>
    <n v="818.12499999999977"/>
    <n v="0.35"/>
  </r>
  <r>
    <x v="1"/>
    <x v="1"/>
    <x v="64"/>
    <x v="1"/>
    <s v="Louisiana"/>
    <s v="New Orleans"/>
    <x v="5"/>
    <n v="0.65"/>
    <n v="6250"/>
    <x v="113"/>
    <n v="2234.375"/>
    <n v="0.55000000000000004"/>
  </r>
  <r>
    <x v="1"/>
    <x v="1"/>
    <x v="65"/>
    <x v="1"/>
    <s v="Louisiana"/>
    <s v="New Orleans"/>
    <x v="0"/>
    <n v="0.54999999999999993"/>
    <n v="7750"/>
    <x v="475"/>
    <n v="1704.9999999999995"/>
    <n v="0.39999999999999997"/>
  </r>
  <r>
    <x v="1"/>
    <x v="1"/>
    <x v="65"/>
    <x v="1"/>
    <s v="Louisiana"/>
    <s v="New Orleans"/>
    <x v="1"/>
    <n v="0.54999999999999993"/>
    <n v="7750"/>
    <x v="475"/>
    <n v="1704.9999999999995"/>
    <n v="0.39999999999999997"/>
  </r>
  <r>
    <x v="1"/>
    <x v="1"/>
    <x v="65"/>
    <x v="1"/>
    <s v="Louisiana"/>
    <s v="New Orleans"/>
    <x v="2"/>
    <n v="0.6"/>
    <n v="6750"/>
    <x v="72"/>
    <n v="1619.9999999999998"/>
    <n v="0.39999999999999997"/>
  </r>
  <r>
    <x v="1"/>
    <x v="1"/>
    <x v="65"/>
    <x v="1"/>
    <s v="Louisiana"/>
    <s v="New Orleans"/>
    <x v="3"/>
    <n v="0.6"/>
    <n v="5250"/>
    <x v="40"/>
    <n v="1575"/>
    <n v="0.5"/>
  </r>
  <r>
    <x v="1"/>
    <x v="1"/>
    <x v="65"/>
    <x v="1"/>
    <s v="Louisiana"/>
    <s v="New Orleans"/>
    <x v="4"/>
    <n v="0.54999999999999993"/>
    <n v="4750"/>
    <x v="332"/>
    <n v="914.37499999999977"/>
    <n v="0.35"/>
  </r>
  <r>
    <x v="1"/>
    <x v="1"/>
    <x v="65"/>
    <x v="1"/>
    <s v="Louisiana"/>
    <s v="New Orleans"/>
    <x v="5"/>
    <n v="0.65"/>
    <n v="7250"/>
    <x v="84"/>
    <n v="2591.875"/>
    <n v="0.55000000000000004"/>
  </r>
  <r>
    <x v="2"/>
    <x v="2"/>
    <x v="180"/>
    <x v="2"/>
    <s v="Idaho"/>
    <s v="Boise"/>
    <x v="0"/>
    <n v="0.29999999999999993"/>
    <n v="4250"/>
    <x v="555"/>
    <n v="446.24999999999989"/>
    <n v="0.35"/>
  </r>
  <r>
    <x v="2"/>
    <x v="2"/>
    <x v="180"/>
    <x v="2"/>
    <s v="Idaho"/>
    <s v="Boise"/>
    <x v="1"/>
    <n v="0.4"/>
    <n v="4250"/>
    <x v="234"/>
    <n v="680"/>
    <n v="0.4"/>
  </r>
  <r>
    <x v="2"/>
    <x v="2"/>
    <x v="180"/>
    <x v="2"/>
    <s v="Idaho"/>
    <s v="Boise"/>
    <x v="2"/>
    <n v="0.4"/>
    <n v="4250"/>
    <x v="234"/>
    <n v="595"/>
    <n v="0.35"/>
  </r>
  <r>
    <x v="2"/>
    <x v="2"/>
    <x v="180"/>
    <x v="2"/>
    <s v="Idaho"/>
    <s v="Boise"/>
    <x v="3"/>
    <n v="0.4"/>
    <n v="2750"/>
    <x v="130"/>
    <n v="385"/>
    <n v="0.35"/>
  </r>
  <r>
    <x v="2"/>
    <x v="2"/>
    <x v="180"/>
    <x v="2"/>
    <s v="Idaho"/>
    <s v="Boise"/>
    <x v="4"/>
    <n v="0.45000000000000007"/>
    <n v="2250"/>
    <x v="471"/>
    <n v="303.75"/>
    <n v="0.3"/>
  </r>
  <r>
    <x v="2"/>
    <x v="2"/>
    <x v="180"/>
    <x v="2"/>
    <s v="Idaho"/>
    <s v="Boise"/>
    <x v="5"/>
    <n v="0.4"/>
    <n v="4250"/>
    <x v="234"/>
    <n v="425"/>
    <n v="0.25"/>
  </r>
  <r>
    <x v="2"/>
    <x v="2"/>
    <x v="181"/>
    <x v="2"/>
    <s v="Idaho"/>
    <s v="Boise"/>
    <x v="0"/>
    <n v="0.29999999999999993"/>
    <n v="4750"/>
    <x v="556"/>
    <n v="498.74999999999989"/>
    <n v="0.35"/>
  </r>
  <r>
    <x v="2"/>
    <x v="2"/>
    <x v="181"/>
    <x v="2"/>
    <s v="Idaho"/>
    <s v="Boise"/>
    <x v="1"/>
    <n v="0.4"/>
    <n v="3750"/>
    <x v="146"/>
    <n v="600"/>
    <n v="0.4"/>
  </r>
  <r>
    <x v="2"/>
    <x v="2"/>
    <x v="181"/>
    <x v="2"/>
    <s v="Idaho"/>
    <s v="Boise"/>
    <x v="2"/>
    <n v="0.4"/>
    <n v="3750"/>
    <x v="146"/>
    <n v="525"/>
    <n v="0.35"/>
  </r>
  <r>
    <x v="2"/>
    <x v="2"/>
    <x v="181"/>
    <x v="2"/>
    <s v="Idaho"/>
    <s v="Boise"/>
    <x v="3"/>
    <n v="0.4"/>
    <n v="2250"/>
    <x v="124"/>
    <n v="315"/>
    <n v="0.35"/>
  </r>
  <r>
    <x v="2"/>
    <x v="2"/>
    <x v="181"/>
    <x v="2"/>
    <s v="Idaho"/>
    <s v="Boise"/>
    <x v="4"/>
    <n v="0.45000000000000007"/>
    <n v="1500"/>
    <x v="318"/>
    <n v="202.50000000000003"/>
    <n v="0.3"/>
  </r>
  <r>
    <x v="2"/>
    <x v="2"/>
    <x v="181"/>
    <x v="2"/>
    <s v="Idaho"/>
    <s v="Boise"/>
    <x v="5"/>
    <n v="0.4"/>
    <n v="3500"/>
    <x v="340"/>
    <n v="350"/>
    <n v="0.25"/>
  </r>
  <r>
    <x v="2"/>
    <x v="2"/>
    <x v="182"/>
    <x v="2"/>
    <s v="Idaho"/>
    <s v="Boise"/>
    <x v="0"/>
    <n v="0.4"/>
    <n v="5000"/>
    <x v="47"/>
    <n v="700"/>
    <n v="0.35"/>
  </r>
  <r>
    <x v="2"/>
    <x v="2"/>
    <x v="182"/>
    <x v="2"/>
    <s v="Idaho"/>
    <s v="Boise"/>
    <x v="1"/>
    <n v="0.5"/>
    <n v="3500"/>
    <x v="157"/>
    <n v="700"/>
    <n v="0.4"/>
  </r>
  <r>
    <x v="2"/>
    <x v="2"/>
    <x v="182"/>
    <x v="2"/>
    <s v="Idaho"/>
    <s v="Boise"/>
    <x v="2"/>
    <n v="0.5"/>
    <n v="3500"/>
    <x v="157"/>
    <n v="612.5"/>
    <n v="0.35"/>
  </r>
  <r>
    <x v="2"/>
    <x v="2"/>
    <x v="182"/>
    <x v="2"/>
    <s v="Idaho"/>
    <s v="Boise"/>
    <x v="3"/>
    <n v="0.5"/>
    <n v="2250"/>
    <x v="127"/>
    <n v="393.75"/>
    <n v="0.35"/>
  </r>
  <r>
    <x v="2"/>
    <x v="2"/>
    <x v="182"/>
    <x v="2"/>
    <s v="Idaho"/>
    <s v="Boise"/>
    <x v="4"/>
    <n v="0.55000000000000004"/>
    <n v="1250"/>
    <x v="389"/>
    <n v="206.25"/>
    <n v="0.3"/>
  </r>
  <r>
    <x v="2"/>
    <x v="2"/>
    <x v="182"/>
    <x v="2"/>
    <s v="Idaho"/>
    <s v="Boise"/>
    <x v="5"/>
    <n v="0.5"/>
    <n v="3250"/>
    <x v="132"/>
    <n v="406.25"/>
    <n v="0.25"/>
  </r>
  <r>
    <x v="2"/>
    <x v="2"/>
    <x v="183"/>
    <x v="2"/>
    <s v="Idaho"/>
    <s v="Boise"/>
    <x v="0"/>
    <n v="0.5"/>
    <n v="5000"/>
    <x v="54"/>
    <n v="875"/>
    <n v="0.35"/>
  </r>
  <r>
    <x v="2"/>
    <x v="2"/>
    <x v="183"/>
    <x v="2"/>
    <s v="Idaho"/>
    <s v="Boise"/>
    <x v="1"/>
    <n v="0.55000000000000004"/>
    <n v="3000"/>
    <x v="205"/>
    <n v="660.00000000000011"/>
    <n v="0.4"/>
  </r>
  <r>
    <x v="2"/>
    <x v="2"/>
    <x v="183"/>
    <x v="2"/>
    <s v="Idaho"/>
    <s v="Boise"/>
    <x v="2"/>
    <n v="0.55000000000000004"/>
    <n v="3500"/>
    <x v="136"/>
    <n v="673.75"/>
    <n v="0.35"/>
  </r>
  <r>
    <x v="2"/>
    <x v="2"/>
    <x v="183"/>
    <x v="2"/>
    <s v="Idaho"/>
    <s v="Boise"/>
    <x v="3"/>
    <n v="0.5"/>
    <n v="2500"/>
    <x v="142"/>
    <n v="437.5"/>
    <n v="0.35"/>
  </r>
  <r>
    <x v="2"/>
    <x v="2"/>
    <x v="183"/>
    <x v="2"/>
    <s v="Idaho"/>
    <s v="Boise"/>
    <x v="4"/>
    <n v="0.55000000000000004"/>
    <n v="1500"/>
    <x v="188"/>
    <n v="247.50000000000003"/>
    <n v="0.3"/>
  </r>
  <r>
    <x v="2"/>
    <x v="2"/>
    <x v="183"/>
    <x v="2"/>
    <s v="Idaho"/>
    <s v="Boise"/>
    <x v="5"/>
    <n v="0.70000000000000007"/>
    <n v="3250"/>
    <x v="154"/>
    <n v="568.75"/>
    <n v="0.25"/>
  </r>
  <r>
    <x v="2"/>
    <x v="2"/>
    <x v="184"/>
    <x v="2"/>
    <s v="Idaho"/>
    <s v="Boise"/>
    <x v="0"/>
    <n v="0.5"/>
    <n v="5250"/>
    <x v="48"/>
    <n v="918.74999999999989"/>
    <n v="0.35"/>
  </r>
  <r>
    <x v="2"/>
    <x v="2"/>
    <x v="184"/>
    <x v="2"/>
    <s v="Idaho"/>
    <s v="Boise"/>
    <x v="1"/>
    <n v="0.55000000000000004"/>
    <n v="3750"/>
    <x v="138"/>
    <n v="825"/>
    <n v="0.4"/>
  </r>
  <r>
    <x v="2"/>
    <x v="2"/>
    <x v="184"/>
    <x v="2"/>
    <s v="Idaho"/>
    <s v="Boise"/>
    <x v="2"/>
    <n v="0.55000000000000004"/>
    <n v="4000"/>
    <x v="42"/>
    <n v="770"/>
    <n v="0.35"/>
  </r>
  <r>
    <x v="2"/>
    <x v="2"/>
    <x v="184"/>
    <x v="2"/>
    <s v="Idaho"/>
    <s v="Boise"/>
    <x v="3"/>
    <n v="0.5"/>
    <n v="3000"/>
    <x v="146"/>
    <n v="525"/>
    <n v="0.35"/>
  </r>
  <r>
    <x v="2"/>
    <x v="2"/>
    <x v="184"/>
    <x v="2"/>
    <s v="Idaho"/>
    <s v="Boise"/>
    <x v="4"/>
    <n v="0.55000000000000004"/>
    <n v="2000"/>
    <x v="130"/>
    <n v="330"/>
    <n v="0.3"/>
  </r>
  <r>
    <x v="2"/>
    <x v="2"/>
    <x v="184"/>
    <x v="2"/>
    <s v="Idaho"/>
    <s v="Boise"/>
    <x v="5"/>
    <n v="0.70000000000000007"/>
    <n v="3750"/>
    <x v="195"/>
    <n v="656.25000000000011"/>
    <n v="0.25"/>
  </r>
  <r>
    <x v="2"/>
    <x v="2"/>
    <x v="185"/>
    <x v="2"/>
    <s v="Idaho"/>
    <s v="Boise"/>
    <x v="0"/>
    <n v="0.5"/>
    <n v="6250"/>
    <x v="66"/>
    <n v="1093.75"/>
    <n v="0.35"/>
  </r>
  <r>
    <x v="2"/>
    <x v="2"/>
    <x v="185"/>
    <x v="2"/>
    <s v="Idaho"/>
    <s v="Boise"/>
    <x v="1"/>
    <n v="0.55000000000000004"/>
    <n v="4750"/>
    <x v="356"/>
    <n v="1045"/>
    <n v="0.4"/>
  </r>
  <r>
    <x v="2"/>
    <x v="2"/>
    <x v="185"/>
    <x v="2"/>
    <s v="Idaho"/>
    <s v="Boise"/>
    <x v="2"/>
    <n v="0.55000000000000004"/>
    <n v="4750"/>
    <x v="356"/>
    <n v="914.37499999999989"/>
    <n v="0.35"/>
  </r>
  <r>
    <x v="2"/>
    <x v="2"/>
    <x v="185"/>
    <x v="2"/>
    <s v="Idaho"/>
    <s v="Boise"/>
    <x v="3"/>
    <n v="0.5"/>
    <n v="3500"/>
    <x v="157"/>
    <n v="612.5"/>
    <n v="0.35"/>
  </r>
  <r>
    <x v="2"/>
    <x v="2"/>
    <x v="185"/>
    <x v="2"/>
    <s v="Idaho"/>
    <s v="Boise"/>
    <x v="4"/>
    <n v="0.55000000000000004"/>
    <n v="2250"/>
    <x v="116"/>
    <n v="371.25"/>
    <n v="0.3"/>
  </r>
  <r>
    <x v="2"/>
    <x v="2"/>
    <x v="185"/>
    <x v="2"/>
    <s v="Idaho"/>
    <s v="Boise"/>
    <x v="5"/>
    <n v="0.70000000000000007"/>
    <n v="5250"/>
    <x v="244"/>
    <n v="918.75000000000011"/>
    <n v="0.25"/>
  </r>
  <r>
    <x v="2"/>
    <x v="2"/>
    <x v="186"/>
    <x v="2"/>
    <s v="Idaho"/>
    <s v="Boise"/>
    <x v="0"/>
    <n v="0.5"/>
    <n v="6750"/>
    <x v="73"/>
    <n v="1181.25"/>
    <n v="0.35"/>
  </r>
  <r>
    <x v="2"/>
    <x v="2"/>
    <x v="186"/>
    <x v="2"/>
    <s v="Idaho"/>
    <s v="Boise"/>
    <x v="1"/>
    <n v="0.55000000000000004"/>
    <n v="5250"/>
    <x v="170"/>
    <n v="1155.0000000000002"/>
    <n v="0.4"/>
  </r>
  <r>
    <x v="2"/>
    <x v="2"/>
    <x v="186"/>
    <x v="2"/>
    <s v="Idaho"/>
    <s v="Boise"/>
    <x v="2"/>
    <n v="0.55000000000000004"/>
    <n v="4750"/>
    <x v="356"/>
    <n v="914.37499999999989"/>
    <n v="0.35"/>
  </r>
  <r>
    <x v="2"/>
    <x v="2"/>
    <x v="186"/>
    <x v="2"/>
    <s v="Idaho"/>
    <s v="Boise"/>
    <x v="3"/>
    <n v="0.5"/>
    <n v="3750"/>
    <x v="203"/>
    <n v="656.25"/>
    <n v="0.35"/>
  </r>
  <r>
    <x v="2"/>
    <x v="2"/>
    <x v="186"/>
    <x v="2"/>
    <s v="Idaho"/>
    <s v="Boise"/>
    <x v="4"/>
    <n v="0.55000000000000004"/>
    <n v="4250"/>
    <x v="256"/>
    <n v="701.25"/>
    <n v="0.3"/>
  </r>
  <r>
    <x v="2"/>
    <x v="2"/>
    <x v="186"/>
    <x v="2"/>
    <s v="Idaho"/>
    <s v="Boise"/>
    <x v="5"/>
    <n v="0.70000000000000007"/>
    <n v="4250"/>
    <x v="253"/>
    <n v="743.75000000000011"/>
    <n v="0.25"/>
  </r>
  <r>
    <x v="2"/>
    <x v="2"/>
    <x v="187"/>
    <x v="2"/>
    <s v="Idaho"/>
    <s v="Boise"/>
    <x v="0"/>
    <n v="0.55000000000000004"/>
    <n v="6250"/>
    <x v="337"/>
    <n v="1203.125"/>
    <n v="0.35"/>
  </r>
  <r>
    <x v="2"/>
    <x v="2"/>
    <x v="187"/>
    <x v="2"/>
    <s v="Idaho"/>
    <s v="Boise"/>
    <x v="1"/>
    <n v="0.60000000000000009"/>
    <n v="5750"/>
    <x v="225"/>
    <n v="1380.0000000000002"/>
    <n v="0.4"/>
  </r>
  <r>
    <x v="2"/>
    <x v="2"/>
    <x v="187"/>
    <x v="2"/>
    <s v="Idaho"/>
    <s v="Boise"/>
    <x v="2"/>
    <n v="0.55000000000000004"/>
    <n v="4500"/>
    <x v="111"/>
    <n v="866.25"/>
    <n v="0.35"/>
  </r>
  <r>
    <x v="2"/>
    <x v="2"/>
    <x v="187"/>
    <x v="2"/>
    <s v="Idaho"/>
    <s v="Boise"/>
    <x v="3"/>
    <n v="0.55000000000000004"/>
    <n v="4000"/>
    <x v="42"/>
    <n v="770"/>
    <n v="0.35"/>
  </r>
  <r>
    <x v="2"/>
    <x v="2"/>
    <x v="187"/>
    <x v="2"/>
    <s v="Idaho"/>
    <s v="Boise"/>
    <x v="4"/>
    <n v="0.65"/>
    <n v="4000"/>
    <x v="51"/>
    <n v="780"/>
    <n v="0.3"/>
  </r>
  <r>
    <x v="2"/>
    <x v="2"/>
    <x v="187"/>
    <x v="2"/>
    <s v="Idaho"/>
    <s v="Boise"/>
    <x v="5"/>
    <n v="0.70000000000000007"/>
    <n v="3750"/>
    <x v="195"/>
    <n v="656.25000000000011"/>
    <n v="0.25"/>
  </r>
  <r>
    <x v="2"/>
    <x v="2"/>
    <x v="188"/>
    <x v="2"/>
    <s v="Idaho"/>
    <s v="Boise"/>
    <x v="0"/>
    <n v="0.45000000000000007"/>
    <n v="5750"/>
    <x v="339"/>
    <n v="905.62500000000011"/>
    <n v="0.35"/>
  </r>
  <r>
    <x v="2"/>
    <x v="2"/>
    <x v="188"/>
    <x v="2"/>
    <s v="Idaho"/>
    <s v="Boise"/>
    <x v="1"/>
    <n v="0.50000000000000011"/>
    <n v="5750"/>
    <x v="460"/>
    <n v="1150.0000000000002"/>
    <n v="0.4"/>
  </r>
  <r>
    <x v="2"/>
    <x v="2"/>
    <x v="188"/>
    <x v="2"/>
    <s v="Idaho"/>
    <s v="Boise"/>
    <x v="2"/>
    <n v="0.45000000000000007"/>
    <n v="4250"/>
    <x v="557"/>
    <n v="669.375"/>
    <n v="0.35"/>
  </r>
  <r>
    <x v="2"/>
    <x v="2"/>
    <x v="188"/>
    <x v="2"/>
    <s v="Idaho"/>
    <s v="Boise"/>
    <x v="3"/>
    <n v="0.45000000000000007"/>
    <n v="3750"/>
    <x v="490"/>
    <n v="590.625"/>
    <n v="0.35"/>
  </r>
  <r>
    <x v="2"/>
    <x v="2"/>
    <x v="188"/>
    <x v="2"/>
    <s v="Idaho"/>
    <s v="Boise"/>
    <x v="4"/>
    <n v="0.55000000000000004"/>
    <n v="3750"/>
    <x v="138"/>
    <n v="618.75"/>
    <n v="0.3"/>
  </r>
  <r>
    <x v="2"/>
    <x v="2"/>
    <x v="188"/>
    <x v="2"/>
    <s v="Idaho"/>
    <s v="Boise"/>
    <x v="5"/>
    <n v="0.60000000000000009"/>
    <n v="4250"/>
    <x v="227"/>
    <n v="637.50000000000011"/>
    <n v="0.25"/>
  </r>
  <r>
    <x v="2"/>
    <x v="2"/>
    <x v="189"/>
    <x v="2"/>
    <s v="Idaho"/>
    <s v="Boise"/>
    <x v="0"/>
    <n v="0.45000000000000007"/>
    <n v="5000"/>
    <x v="223"/>
    <n v="787.50000000000011"/>
    <n v="0.35"/>
  </r>
  <r>
    <x v="2"/>
    <x v="2"/>
    <x v="189"/>
    <x v="2"/>
    <s v="Idaho"/>
    <s v="Boise"/>
    <x v="1"/>
    <n v="0.50000000000000011"/>
    <n v="5000"/>
    <x v="457"/>
    <n v="1000.0000000000002"/>
    <n v="0.4"/>
  </r>
  <r>
    <x v="2"/>
    <x v="2"/>
    <x v="189"/>
    <x v="2"/>
    <s v="Idaho"/>
    <s v="Boise"/>
    <x v="2"/>
    <n v="0.45000000000000007"/>
    <n v="3250"/>
    <x v="137"/>
    <n v="511.87500000000006"/>
    <n v="0.35"/>
  </r>
  <r>
    <x v="2"/>
    <x v="2"/>
    <x v="189"/>
    <x v="2"/>
    <s v="Idaho"/>
    <s v="Boise"/>
    <x v="3"/>
    <n v="0.45000000000000007"/>
    <n v="3000"/>
    <x v="139"/>
    <n v="472.50000000000006"/>
    <n v="0.35"/>
  </r>
  <r>
    <x v="2"/>
    <x v="2"/>
    <x v="189"/>
    <x v="2"/>
    <s v="Idaho"/>
    <s v="Boise"/>
    <x v="4"/>
    <n v="0.55000000000000004"/>
    <n v="2750"/>
    <x v="408"/>
    <n v="453.75000000000006"/>
    <n v="0.3"/>
  </r>
  <r>
    <x v="2"/>
    <x v="2"/>
    <x v="189"/>
    <x v="2"/>
    <s v="Idaho"/>
    <s v="Boise"/>
    <x v="5"/>
    <n v="0.60000000000000009"/>
    <n v="3250"/>
    <x v="470"/>
    <n v="487.50000000000006"/>
    <n v="0.25"/>
  </r>
  <r>
    <x v="2"/>
    <x v="2"/>
    <x v="190"/>
    <x v="2"/>
    <s v="Idaho"/>
    <s v="Boise"/>
    <x v="0"/>
    <n v="0.45000000000000007"/>
    <n v="5000"/>
    <x v="223"/>
    <n v="787.50000000000011"/>
    <n v="0.35"/>
  </r>
  <r>
    <x v="2"/>
    <x v="2"/>
    <x v="190"/>
    <x v="2"/>
    <s v="Idaho"/>
    <s v="Boise"/>
    <x v="1"/>
    <n v="0.50000000000000011"/>
    <n v="5250"/>
    <x v="195"/>
    <n v="1050.0000000000002"/>
    <n v="0.4"/>
  </r>
  <r>
    <x v="2"/>
    <x v="2"/>
    <x v="190"/>
    <x v="2"/>
    <s v="Idaho"/>
    <s v="Boise"/>
    <x v="2"/>
    <n v="0.45000000000000007"/>
    <n v="3750"/>
    <x v="490"/>
    <n v="590.625"/>
    <n v="0.35"/>
  </r>
  <r>
    <x v="2"/>
    <x v="2"/>
    <x v="190"/>
    <x v="2"/>
    <s v="Idaho"/>
    <s v="Boise"/>
    <x v="3"/>
    <n v="0.45000000000000007"/>
    <n v="3500"/>
    <x v="160"/>
    <n v="551.25"/>
    <n v="0.35"/>
  </r>
  <r>
    <x v="2"/>
    <x v="2"/>
    <x v="190"/>
    <x v="2"/>
    <s v="Idaho"/>
    <s v="Boise"/>
    <x v="4"/>
    <n v="0.55000000000000004"/>
    <n v="3000"/>
    <x v="205"/>
    <n v="495.00000000000006"/>
    <n v="0.3"/>
  </r>
  <r>
    <x v="2"/>
    <x v="2"/>
    <x v="190"/>
    <x v="2"/>
    <s v="Idaho"/>
    <s v="Boise"/>
    <x v="5"/>
    <n v="0.60000000000000009"/>
    <n v="4250"/>
    <x v="227"/>
    <n v="637.50000000000011"/>
    <n v="0.25"/>
  </r>
  <r>
    <x v="2"/>
    <x v="2"/>
    <x v="191"/>
    <x v="2"/>
    <s v="Idaho"/>
    <s v="Boise"/>
    <x v="0"/>
    <n v="0.45000000000000007"/>
    <n v="6250"/>
    <x v="224"/>
    <n v="984.37500000000011"/>
    <n v="0.35"/>
  </r>
  <r>
    <x v="2"/>
    <x v="2"/>
    <x v="191"/>
    <x v="2"/>
    <s v="Idaho"/>
    <s v="Boise"/>
    <x v="1"/>
    <n v="0.50000000000000011"/>
    <n v="6250"/>
    <x v="456"/>
    <n v="1250.0000000000005"/>
    <n v="0.4"/>
  </r>
  <r>
    <x v="2"/>
    <x v="2"/>
    <x v="191"/>
    <x v="2"/>
    <s v="Idaho"/>
    <s v="Boise"/>
    <x v="2"/>
    <n v="0.45000000000000007"/>
    <n v="4250"/>
    <x v="557"/>
    <n v="669.375"/>
    <n v="0.35"/>
  </r>
  <r>
    <x v="2"/>
    <x v="2"/>
    <x v="191"/>
    <x v="2"/>
    <s v="Idaho"/>
    <s v="Boise"/>
    <x v="3"/>
    <n v="0.45000000000000007"/>
    <n v="4250"/>
    <x v="557"/>
    <n v="669.375"/>
    <n v="0.35"/>
  </r>
  <r>
    <x v="2"/>
    <x v="2"/>
    <x v="191"/>
    <x v="2"/>
    <s v="Idaho"/>
    <s v="Boise"/>
    <x v="4"/>
    <n v="0.55000000000000004"/>
    <n v="3500"/>
    <x v="136"/>
    <n v="577.5"/>
    <n v="0.3"/>
  </r>
  <r>
    <x v="2"/>
    <x v="2"/>
    <x v="191"/>
    <x v="2"/>
    <s v="Idaho"/>
    <s v="Boise"/>
    <x v="5"/>
    <n v="0.60000000000000009"/>
    <n v="4500"/>
    <x v="217"/>
    <n v="675.00000000000011"/>
    <n v="0.25"/>
  </r>
  <r>
    <x v="2"/>
    <x v="2"/>
    <x v="192"/>
    <x v="2"/>
    <s v="Arizona"/>
    <s v="Phoenix"/>
    <x v="0"/>
    <n v="0.34999999999999992"/>
    <n v="4750"/>
    <x v="558"/>
    <n v="581.87499999999977"/>
    <n v="0.35"/>
  </r>
  <r>
    <x v="2"/>
    <x v="2"/>
    <x v="192"/>
    <x v="2"/>
    <s v="Arizona"/>
    <s v="Phoenix"/>
    <x v="1"/>
    <n v="0.45"/>
    <n v="4750"/>
    <x v="115"/>
    <n v="855"/>
    <n v="0.4"/>
  </r>
  <r>
    <x v="2"/>
    <x v="2"/>
    <x v="192"/>
    <x v="2"/>
    <s v="Arizona"/>
    <s v="Phoenix"/>
    <x v="2"/>
    <n v="0.45"/>
    <n v="4750"/>
    <x v="115"/>
    <n v="748.125"/>
    <n v="0.35"/>
  </r>
  <r>
    <x v="2"/>
    <x v="2"/>
    <x v="192"/>
    <x v="2"/>
    <s v="Arizona"/>
    <s v="Phoenix"/>
    <x v="3"/>
    <n v="0.45"/>
    <n v="3250"/>
    <x v="334"/>
    <n v="511.87499999999994"/>
    <n v="0.35"/>
  </r>
  <r>
    <x v="2"/>
    <x v="2"/>
    <x v="192"/>
    <x v="2"/>
    <s v="Arizona"/>
    <s v="Phoenix"/>
    <x v="4"/>
    <n v="0.50000000000000011"/>
    <n v="2750"/>
    <x v="559"/>
    <n v="412.50000000000006"/>
    <n v="0.3"/>
  </r>
  <r>
    <x v="2"/>
    <x v="2"/>
    <x v="192"/>
    <x v="2"/>
    <s v="Arizona"/>
    <s v="Phoenix"/>
    <x v="5"/>
    <n v="0.45"/>
    <n v="4750"/>
    <x v="115"/>
    <n v="534.375"/>
    <n v="0.25"/>
  </r>
  <r>
    <x v="2"/>
    <x v="2"/>
    <x v="193"/>
    <x v="2"/>
    <s v="Arizona"/>
    <s v="Phoenix"/>
    <x v="0"/>
    <n v="0.34999999999999992"/>
    <n v="5250"/>
    <x v="560"/>
    <n v="643.12499999999977"/>
    <n v="0.35"/>
  </r>
  <r>
    <x v="2"/>
    <x v="2"/>
    <x v="193"/>
    <x v="2"/>
    <s v="Arizona"/>
    <s v="Phoenix"/>
    <x v="1"/>
    <n v="0.45"/>
    <n v="4250"/>
    <x v="172"/>
    <n v="765"/>
    <n v="0.4"/>
  </r>
  <r>
    <x v="2"/>
    <x v="2"/>
    <x v="193"/>
    <x v="2"/>
    <s v="Arizona"/>
    <s v="Phoenix"/>
    <x v="2"/>
    <n v="0.45"/>
    <n v="4250"/>
    <x v="172"/>
    <n v="669.375"/>
    <n v="0.35"/>
  </r>
  <r>
    <x v="2"/>
    <x v="2"/>
    <x v="193"/>
    <x v="2"/>
    <s v="Arizona"/>
    <s v="Phoenix"/>
    <x v="3"/>
    <n v="0.45"/>
    <n v="2750"/>
    <x v="116"/>
    <n v="433.125"/>
    <n v="0.35"/>
  </r>
  <r>
    <x v="2"/>
    <x v="2"/>
    <x v="193"/>
    <x v="2"/>
    <s v="Arizona"/>
    <s v="Phoenix"/>
    <x v="4"/>
    <n v="0.50000000000000011"/>
    <n v="2000"/>
    <x v="322"/>
    <n v="300.00000000000006"/>
    <n v="0.3"/>
  </r>
  <r>
    <x v="2"/>
    <x v="2"/>
    <x v="193"/>
    <x v="2"/>
    <s v="Arizona"/>
    <s v="Phoenix"/>
    <x v="5"/>
    <n v="0.45"/>
    <n v="4000"/>
    <x v="207"/>
    <n v="450"/>
    <n v="0.25"/>
  </r>
  <r>
    <x v="2"/>
    <x v="2"/>
    <x v="194"/>
    <x v="2"/>
    <s v="Arizona"/>
    <s v="Phoenix"/>
    <x v="0"/>
    <n v="0.45"/>
    <n v="5500"/>
    <x v="111"/>
    <n v="866.25"/>
    <n v="0.35"/>
  </r>
  <r>
    <x v="2"/>
    <x v="2"/>
    <x v="194"/>
    <x v="2"/>
    <s v="Arizona"/>
    <s v="Phoenix"/>
    <x v="1"/>
    <n v="0.55000000000000004"/>
    <n v="4000"/>
    <x v="42"/>
    <n v="880"/>
    <n v="0.4"/>
  </r>
  <r>
    <x v="2"/>
    <x v="2"/>
    <x v="194"/>
    <x v="2"/>
    <s v="Arizona"/>
    <s v="Phoenix"/>
    <x v="2"/>
    <n v="0.55000000000000004"/>
    <n v="4000"/>
    <x v="42"/>
    <n v="770"/>
    <n v="0.35"/>
  </r>
  <r>
    <x v="2"/>
    <x v="2"/>
    <x v="194"/>
    <x v="2"/>
    <s v="Arizona"/>
    <s v="Phoenix"/>
    <x v="3"/>
    <n v="0.55000000000000004"/>
    <n v="2750"/>
    <x v="408"/>
    <n v="529.375"/>
    <n v="0.35"/>
  </r>
  <r>
    <x v="2"/>
    <x v="2"/>
    <x v="194"/>
    <x v="2"/>
    <s v="Arizona"/>
    <s v="Phoenix"/>
    <x v="4"/>
    <n v="0.60000000000000009"/>
    <n v="1750"/>
    <x v="187"/>
    <n v="315.00000000000006"/>
    <n v="0.3"/>
  </r>
  <r>
    <x v="2"/>
    <x v="2"/>
    <x v="194"/>
    <x v="2"/>
    <s v="Arizona"/>
    <s v="Phoenix"/>
    <x v="5"/>
    <n v="0.55000000000000004"/>
    <n v="3750"/>
    <x v="138"/>
    <n v="515.625"/>
    <n v="0.25"/>
  </r>
  <r>
    <x v="2"/>
    <x v="2"/>
    <x v="195"/>
    <x v="2"/>
    <s v="Arizona"/>
    <s v="Phoenix"/>
    <x v="0"/>
    <n v="0.55000000000000004"/>
    <n v="5500"/>
    <x v="446"/>
    <n v="1058.75"/>
    <n v="0.35"/>
  </r>
  <r>
    <x v="2"/>
    <x v="2"/>
    <x v="195"/>
    <x v="2"/>
    <s v="Arizona"/>
    <s v="Phoenix"/>
    <x v="1"/>
    <n v="0.60000000000000009"/>
    <n v="3500"/>
    <x v="162"/>
    <n v="840.00000000000023"/>
    <n v="0.4"/>
  </r>
  <r>
    <x v="2"/>
    <x v="2"/>
    <x v="195"/>
    <x v="2"/>
    <s v="Arizona"/>
    <s v="Phoenix"/>
    <x v="2"/>
    <n v="0.60000000000000009"/>
    <n v="4000"/>
    <x v="218"/>
    <n v="840.00000000000011"/>
    <n v="0.35"/>
  </r>
  <r>
    <x v="2"/>
    <x v="2"/>
    <x v="195"/>
    <x v="2"/>
    <s v="Arizona"/>
    <s v="Phoenix"/>
    <x v="3"/>
    <n v="0.55000000000000004"/>
    <n v="3000"/>
    <x v="205"/>
    <n v="577.5"/>
    <n v="0.35"/>
  </r>
  <r>
    <x v="2"/>
    <x v="2"/>
    <x v="195"/>
    <x v="2"/>
    <s v="Arizona"/>
    <s v="Phoenix"/>
    <x v="4"/>
    <n v="0.60000000000000009"/>
    <n v="2000"/>
    <x v="200"/>
    <n v="360.00000000000006"/>
    <n v="0.3"/>
  </r>
  <r>
    <x v="2"/>
    <x v="2"/>
    <x v="195"/>
    <x v="2"/>
    <s v="Arizona"/>
    <s v="Phoenix"/>
    <x v="5"/>
    <n v="0.75000000000000011"/>
    <n v="3750"/>
    <x v="224"/>
    <n v="703.12500000000011"/>
    <n v="0.25"/>
  </r>
  <r>
    <x v="2"/>
    <x v="2"/>
    <x v="196"/>
    <x v="2"/>
    <s v="Arizona"/>
    <s v="Phoenix"/>
    <x v="0"/>
    <n v="0.55000000000000004"/>
    <n v="5750"/>
    <x v="76"/>
    <n v="1106.875"/>
    <n v="0.35"/>
  </r>
  <r>
    <x v="2"/>
    <x v="2"/>
    <x v="196"/>
    <x v="2"/>
    <s v="Arizona"/>
    <s v="Phoenix"/>
    <x v="1"/>
    <n v="0.60000000000000009"/>
    <n v="4250"/>
    <x v="227"/>
    <n v="1020.0000000000002"/>
    <n v="0.4"/>
  </r>
  <r>
    <x v="2"/>
    <x v="2"/>
    <x v="196"/>
    <x v="2"/>
    <s v="Arizona"/>
    <s v="Phoenix"/>
    <x v="2"/>
    <n v="0.60000000000000009"/>
    <n v="4500"/>
    <x v="217"/>
    <n v="945.00000000000011"/>
    <n v="0.35"/>
  </r>
  <r>
    <x v="2"/>
    <x v="2"/>
    <x v="196"/>
    <x v="2"/>
    <s v="Arizona"/>
    <s v="Phoenix"/>
    <x v="3"/>
    <n v="0.55000000000000004"/>
    <n v="3500"/>
    <x v="136"/>
    <n v="673.75"/>
    <n v="0.35"/>
  </r>
  <r>
    <x v="2"/>
    <x v="2"/>
    <x v="196"/>
    <x v="2"/>
    <s v="Arizona"/>
    <s v="Phoenix"/>
    <x v="4"/>
    <n v="0.60000000000000009"/>
    <n v="2500"/>
    <x v="192"/>
    <n v="450.00000000000006"/>
    <n v="0.3"/>
  </r>
  <r>
    <x v="2"/>
    <x v="2"/>
    <x v="196"/>
    <x v="2"/>
    <s v="Arizona"/>
    <s v="Phoenix"/>
    <x v="5"/>
    <n v="0.75000000000000011"/>
    <n v="4250"/>
    <x v="260"/>
    <n v="796.87500000000011"/>
    <n v="0.25"/>
  </r>
  <r>
    <x v="2"/>
    <x v="2"/>
    <x v="197"/>
    <x v="2"/>
    <s v="Arizona"/>
    <s v="Phoenix"/>
    <x v="0"/>
    <n v="0.55000000000000004"/>
    <n v="7000"/>
    <x v="104"/>
    <n v="1347.5"/>
    <n v="0.35"/>
  </r>
  <r>
    <x v="2"/>
    <x v="2"/>
    <x v="197"/>
    <x v="2"/>
    <s v="Arizona"/>
    <s v="Phoenix"/>
    <x v="1"/>
    <n v="0.60000000000000009"/>
    <n v="5500"/>
    <x v="221"/>
    <n v="1320.0000000000002"/>
    <n v="0.4"/>
  </r>
  <r>
    <x v="2"/>
    <x v="2"/>
    <x v="197"/>
    <x v="2"/>
    <s v="Arizona"/>
    <s v="Phoenix"/>
    <x v="2"/>
    <n v="0.60000000000000009"/>
    <n v="5500"/>
    <x v="221"/>
    <n v="1155"/>
    <n v="0.35"/>
  </r>
  <r>
    <x v="2"/>
    <x v="2"/>
    <x v="197"/>
    <x v="2"/>
    <s v="Arizona"/>
    <s v="Phoenix"/>
    <x v="3"/>
    <n v="0.55000000000000004"/>
    <n v="4250"/>
    <x v="256"/>
    <n v="818.125"/>
    <n v="0.35"/>
  </r>
  <r>
    <x v="2"/>
    <x v="2"/>
    <x v="197"/>
    <x v="2"/>
    <s v="Arizona"/>
    <s v="Phoenix"/>
    <x v="4"/>
    <n v="0.60000000000000009"/>
    <n v="3000"/>
    <x v="166"/>
    <n v="540"/>
    <n v="0.3"/>
  </r>
  <r>
    <x v="2"/>
    <x v="2"/>
    <x v="197"/>
    <x v="2"/>
    <s v="Arizona"/>
    <s v="Phoenix"/>
    <x v="5"/>
    <n v="0.75000000000000011"/>
    <n v="6000"/>
    <x v="276"/>
    <n v="1125.0000000000002"/>
    <n v="0.25"/>
  </r>
  <r>
    <x v="2"/>
    <x v="2"/>
    <x v="198"/>
    <x v="2"/>
    <s v="Arizona"/>
    <s v="Phoenix"/>
    <x v="0"/>
    <n v="0.55000000000000004"/>
    <n v="7500"/>
    <x v="71"/>
    <n v="1443.75"/>
    <n v="0.35"/>
  </r>
  <r>
    <x v="2"/>
    <x v="2"/>
    <x v="198"/>
    <x v="2"/>
    <s v="Arizona"/>
    <s v="Phoenix"/>
    <x v="1"/>
    <n v="0.60000000000000009"/>
    <n v="6000"/>
    <x v="215"/>
    <n v="1440.0000000000002"/>
    <n v="0.4"/>
  </r>
  <r>
    <x v="2"/>
    <x v="2"/>
    <x v="198"/>
    <x v="2"/>
    <s v="Arizona"/>
    <s v="Phoenix"/>
    <x v="2"/>
    <n v="0.60000000000000009"/>
    <n v="5500"/>
    <x v="221"/>
    <n v="1155"/>
    <n v="0.35"/>
  </r>
  <r>
    <x v="2"/>
    <x v="2"/>
    <x v="198"/>
    <x v="2"/>
    <s v="Arizona"/>
    <s v="Phoenix"/>
    <x v="3"/>
    <n v="0.55000000000000004"/>
    <n v="4500"/>
    <x v="111"/>
    <n v="866.25"/>
    <n v="0.35"/>
  </r>
  <r>
    <x v="2"/>
    <x v="2"/>
    <x v="198"/>
    <x v="2"/>
    <s v="Arizona"/>
    <s v="Phoenix"/>
    <x v="4"/>
    <n v="0.60000000000000009"/>
    <n v="5000"/>
    <x v="252"/>
    <n v="900.00000000000011"/>
    <n v="0.3"/>
  </r>
  <r>
    <x v="2"/>
    <x v="2"/>
    <x v="198"/>
    <x v="2"/>
    <s v="Arizona"/>
    <s v="Phoenix"/>
    <x v="5"/>
    <n v="0.75000000000000011"/>
    <n v="5000"/>
    <x v="232"/>
    <n v="937.50000000000011"/>
    <n v="0.25"/>
  </r>
  <r>
    <x v="2"/>
    <x v="2"/>
    <x v="199"/>
    <x v="2"/>
    <s v="Arizona"/>
    <s v="Phoenix"/>
    <x v="0"/>
    <n v="0.60000000000000009"/>
    <n v="7000"/>
    <x v="249"/>
    <n v="1470.0000000000002"/>
    <n v="0.35"/>
  </r>
  <r>
    <x v="2"/>
    <x v="2"/>
    <x v="199"/>
    <x v="2"/>
    <s v="Arizona"/>
    <s v="Phoenix"/>
    <x v="1"/>
    <n v="0.65000000000000013"/>
    <n v="6500"/>
    <x v="561"/>
    <n v="1690.0000000000005"/>
    <n v="0.4"/>
  </r>
  <r>
    <x v="2"/>
    <x v="2"/>
    <x v="199"/>
    <x v="2"/>
    <s v="Arizona"/>
    <s v="Phoenix"/>
    <x v="2"/>
    <n v="0.60000000000000009"/>
    <n v="5250"/>
    <x v="254"/>
    <n v="1102.5"/>
    <n v="0.35"/>
  </r>
  <r>
    <x v="2"/>
    <x v="2"/>
    <x v="199"/>
    <x v="2"/>
    <s v="Arizona"/>
    <s v="Phoenix"/>
    <x v="3"/>
    <n v="0.60000000000000009"/>
    <n v="4750"/>
    <x v="231"/>
    <n v="997.50000000000011"/>
    <n v="0.35"/>
  </r>
  <r>
    <x v="2"/>
    <x v="2"/>
    <x v="199"/>
    <x v="2"/>
    <s v="Arizona"/>
    <s v="Phoenix"/>
    <x v="4"/>
    <n v="0.70000000000000007"/>
    <n v="4750"/>
    <x v="204"/>
    <n v="997.50000000000011"/>
    <n v="0.3"/>
  </r>
  <r>
    <x v="2"/>
    <x v="2"/>
    <x v="199"/>
    <x v="2"/>
    <s v="Arizona"/>
    <s v="Phoenix"/>
    <x v="5"/>
    <n v="0.75000000000000011"/>
    <n v="4500"/>
    <x v="220"/>
    <n v="843.75000000000011"/>
    <n v="0.25"/>
  </r>
  <r>
    <x v="2"/>
    <x v="2"/>
    <x v="200"/>
    <x v="2"/>
    <s v="Arizona"/>
    <s v="Phoenix"/>
    <x v="0"/>
    <n v="0.50000000000000011"/>
    <n v="6250"/>
    <x v="456"/>
    <n v="1093.7500000000002"/>
    <n v="0.35"/>
  </r>
  <r>
    <x v="2"/>
    <x v="2"/>
    <x v="200"/>
    <x v="2"/>
    <s v="Arizona"/>
    <s v="Phoenix"/>
    <x v="1"/>
    <n v="0.55000000000000016"/>
    <n v="6250"/>
    <x v="562"/>
    <n v="1375.0000000000005"/>
    <n v="0.4"/>
  </r>
  <r>
    <x v="2"/>
    <x v="2"/>
    <x v="200"/>
    <x v="2"/>
    <s v="Arizona"/>
    <s v="Phoenix"/>
    <x v="2"/>
    <n v="0.50000000000000011"/>
    <n v="4750"/>
    <x v="563"/>
    <n v="831.25000000000011"/>
    <n v="0.35"/>
  </r>
  <r>
    <x v="2"/>
    <x v="2"/>
    <x v="200"/>
    <x v="2"/>
    <s v="Arizona"/>
    <s v="Phoenix"/>
    <x v="3"/>
    <n v="0.50000000000000011"/>
    <n v="4250"/>
    <x v="564"/>
    <n v="743.75000000000011"/>
    <n v="0.35"/>
  </r>
  <r>
    <x v="2"/>
    <x v="2"/>
    <x v="200"/>
    <x v="2"/>
    <s v="Arizona"/>
    <s v="Phoenix"/>
    <x v="4"/>
    <n v="0.60000000000000009"/>
    <n v="4250"/>
    <x v="227"/>
    <n v="765.00000000000011"/>
    <n v="0.3"/>
  </r>
  <r>
    <x v="2"/>
    <x v="2"/>
    <x v="200"/>
    <x v="2"/>
    <s v="Arizona"/>
    <s v="Phoenix"/>
    <x v="5"/>
    <n v="0.65000000000000013"/>
    <n v="4750"/>
    <x v="422"/>
    <n v="771.87500000000011"/>
    <n v="0.25"/>
  </r>
  <r>
    <x v="2"/>
    <x v="2"/>
    <x v="201"/>
    <x v="2"/>
    <s v="Arizona"/>
    <s v="Phoenix"/>
    <x v="0"/>
    <n v="0.50000000000000011"/>
    <n v="5500"/>
    <x v="565"/>
    <n v="962.50000000000011"/>
    <n v="0.35"/>
  </r>
  <r>
    <x v="2"/>
    <x v="2"/>
    <x v="201"/>
    <x v="2"/>
    <s v="Arizona"/>
    <s v="Phoenix"/>
    <x v="1"/>
    <n v="0.55000000000000016"/>
    <n v="5500"/>
    <x v="566"/>
    <n v="1210.0000000000005"/>
    <n v="0.4"/>
  </r>
  <r>
    <x v="2"/>
    <x v="2"/>
    <x v="201"/>
    <x v="2"/>
    <s v="Arizona"/>
    <s v="Phoenix"/>
    <x v="2"/>
    <n v="0.50000000000000011"/>
    <n v="3750"/>
    <x v="347"/>
    <n v="656.25000000000011"/>
    <n v="0.35"/>
  </r>
  <r>
    <x v="2"/>
    <x v="2"/>
    <x v="201"/>
    <x v="2"/>
    <s v="Arizona"/>
    <s v="Phoenix"/>
    <x v="3"/>
    <n v="0.50000000000000011"/>
    <n v="3500"/>
    <x v="482"/>
    <n v="612.50000000000011"/>
    <n v="0.35"/>
  </r>
  <r>
    <x v="2"/>
    <x v="2"/>
    <x v="201"/>
    <x v="2"/>
    <s v="Arizona"/>
    <s v="Phoenix"/>
    <x v="4"/>
    <n v="0.60000000000000009"/>
    <n v="3250"/>
    <x v="470"/>
    <n v="585"/>
    <n v="0.3"/>
  </r>
  <r>
    <x v="2"/>
    <x v="2"/>
    <x v="201"/>
    <x v="2"/>
    <s v="Arizona"/>
    <s v="Phoenix"/>
    <x v="5"/>
    <n v="0.75000000000000011"/>
    <n v="3750"/>
    <x v="224"/>
    <n v="703.12500000000011"/>
    <n v="0.25"/>
  </r>
  <r>
    <x v="2"/>
    <x v="2"/>
    <x v="202"/>
    <x v="2"/>
    <s v="Arizona"/>
    <s v="Phoenix"/>
    <x v="0"/>
    <n v="0.60000000000000009"/>
    <n v="5500"/>
    <x v="221"/>
    <n v="1155"/>
    <n v="0.35"/>
  </r>
  <r>
    <x v="2"/>
    <x v="2"/>
    <x v="202"/>
    <x v="2"/>
    <s v="Arizona"/>
    <s v="Phoenix"/>
    <x v="1"/>
    <n v="0.65000000000000013"/>
    <n v="6000"/>
    <x v="216"/>
    <n v="1560.0000000000005"/>
    <n v="0.4"/>
  </r>
  <r>
    <x v="2"/>
    <x v="2"/>
    <x v="202"/>
    <x v="2"/>
    <s v="Arizona"/>
    <s v="Phoenix"/>
    <x v="2"/>
    <n v="0.60000000000000009"/>
    <n v="4500"/>
    <x v="217"/>
    <n v="945.00000000000011"/>
    <n v="0.35"/>
  </r>
  <r>
    <x v="2"/>
    <x v="2"/>
    <x v="202"/>
    <x v="2"/>
    <s v="Arizona"/>
    <s v="Phoenix"/>
    <x v="3"/>
    <n v="0.60000000000000009"/>
    <n v="4250"/>
    <x v="227"/>
    <n v="892.50000000000011"/>
    <n v="0.35"/>
  </r>
  <r>
    <x v="2"/>
    <x v="2"/>
    <x v="202"/>
    <x v="2"/>
    <s v="Arizona"/>
    <s v="Phoenix"/>
    <x v="4"/>
    <n v="0.70000000000000007"/>
    <n v="3750"/>
    <x v="195"/>
    <n v="787.50000000000011"/>
    <n v="0.3"/>
  </r>
  <r>
    <x v="2"/>
    <x v="2"/>
    <x v="202"/>
    <x v="2"/>
    <s v="Arizona"/>
    <s v="Phoenix"/>
    <x v="5"/>
    <n v="0.75000000000000011"/>
    <n v="5000"/>
    <x v="232"/>
    <n v="937.50000000000011"/>
    <n v="0.25"/>
  </r>
  <r>
    <x v="2"/>
    <x v="2"/>
    <x v="203"/>
    <x v="2"/>
    <s v="Arizona"/>
    <s v="Phoenix"/>
    <x v="0"/>
    <n v="0.60000000000000009"/>
    <n v="7000"/>
    <x v="249"/>
    <n v="1470.0000000000002"/>
    <n v="0.35"/>
  </r>
  <r>
    <x v="2"/>
    <x v="2"/>
    <x v="203"/>
    <x v="2"/>
    <s v="Arizona"/>
    <s v="Phoenix"/>
    <x v="1"/>
    <n v="0.65000000000000013"/>
    <n v="7000"/>
    <x v="258"/>
    <n v="1820.0000000000005"/>
    <n v="0.4"/>
  </r>
  <r>
    <x v="2"/>
    <x v="2"/>
    <x v="203"/>
    <x v="2"/>
    <s v="Arizona"/>
    <s v="Phoenix"/>
    <x v="2"/>
    <n v="0.60000000000000009"/>
    <n v="5000"/>
    <x v="252"/>
    <n v="1050"/>
    <n v="0.35"/>
  </r>
  <r>
    <x v="2"/>
    <x v="2"/>
    <x v="203"/>
    <x v="2"/>
    <s v="Arizona"/>
    <s v="Phoenix"/>
    <x v="3"/>
    <n v="0.60000000000000009"/>
    <n v="5000"/>
    <x v="252"/>
    <n v="1050"/>
    <n v="0.35"/>
  </r>
  <r>
    <x v="2"/>
    <x v="2"/>
    <x v="203"/>
    <x v="2"/>
    <s v="Arizona"/>
    <s v="Phoenix"/>
    <x v="4"/>
    <n v="0.70000000000000007"/>
    <n v="4250"/>
    <x v="253"/>
    <n v="892.50000000000011"/>
    <n v="0.3"/>
  </r>
  <r>
    <x v="2"/>
    <x v="2"/>
    <x v="203"/>
    <x v="2"/>
    <s v="Arizona"/>
    <s v="Phoenix"/>
    <x v="5"/>
    <n v="0.75000000000000011"/>
    <n v="5250"/>
    <x v="567"/>
    <n v="984.37500000000011"/>
    <n v="0.25"/>
  </r>
  <r>
    <x v="2"/>
    <x v="2"/>
    <x v="90"/>
    <x v="2"/>
    <s v="New Mexico"/>
    <s v="Albuquerque"/>
    <x v="0"/>
    <n v="0.29999999999999993"/>
    <n v="4500"/>
    <x v="331"/>
    <n v="539.99999999999989"/>
    <n v="0.4"/>
  </r>
  <r>
    <x v="2"/>
    <x v="2"/>
    <x v="90"/>
    <x v="2"/>
    <s v="New Mexico"/>
    <s v="Albuquerque"/>
    <x v="1"/>
    <n v="0.4"/>
    <n v="4500"/>
    <x v="207"/>
    <n v="720"/>
    <n v="0.4"/>
  </r>
  <r>
    <x v="2"/>
    <x v="2"/>
    <x v="90"/>
    <x v="2"/>
    <s v="New Mexico"/>
    <s v="Albuquerque"/>
    <x v="2"/>
    <n v="0.4"/>
    <n v="4500"/>
    <x v="207"/>
    <n v="630"/>
    <n v="0.35"/>
  </r>
  <r>
    <x v="2"/>
    <x v="2"/>
    <x v="90"/>
    <x v="2"/>
    <s v="New Mexico"/>
    <s v="Albuquerque"/>
    <x v="3"/>
    <n v="0.4"/>
    <n v="3000"/>
    <x v="147"/>
    <n v="480"/>
    <n v="0.4"/>
  </r>
  <r>
    <x v="2"/>
    <x v="2"/>
    <x v="90"/>
    <x v="2"/>
    <s v="New Mexico"/>
    <s v="Albuquerque"/>
    <x v="4"/>
    <n v="0.45000000000000012"/>
    <n v="2500"/>
    <x v="133"/>
    <n v="393.75000000000006"/>
    <n v="0.35"/>
  </r>
  <r>
    <x v="2"/>
    <x v="2"/>
    <x v="90"/>
    <x v="2"/>
    <s v="New Mexico"/>
    <s v="Albuquerque"/>
    <x v="5"/>
    <n v="0.4"/>
    <n v="4500"/>
    <x v="207"/>
    <n v="450"/>
    <n v="0.25"/>
  </r>
  <r>
    <x v="2"/>
    <x v="2"/>
    <x v="91"/>
    <x v="2"/>
    <s v="New Mexico"/>
    <s v="Albuquerque"/>
    <x v="0"/>
    <n v="0.29999999999999993"/>
    <n v="5000"/>
    <x v="167"/>
    <n v="599.99999999999989"/>
    <n v="0.4"/>
  </r>
  <r>
    <x v="2"/>
    <x v="2"/>
    <x v="91"/>
    <x v="2"/>
    <s v="New Mexico"/>
    <s v="Albuquerque"/>
    <x v="1"/>
    <n v="0.4"/>
    <n v="4000"/>
    <x v="173"/>
    <n v="640"/>
    <n v="0.4"/>
  </r>
  <r>
    <x v="2"/>
    <x v="2"/>
    <x v="91"/>
    <x v="2"/>
    <s v="New Mexico"/>
    <s v="Albuquerque"/>
    <x v="2"/>
    <n v="0.4"/>
    <n v="4000"/>
    <x v="173"/>
    <n v="560"/>
    <n v="0.35"/>
  </r>
  <r>
    <x v="2"/>
    <x v="2"/>
    <x v="91"/>
    <x v="2"/>
    <s v="New Mexico"/>
    <s v="Albuquerque"/>
    <x v="3"/>
    <n v="0.4"/>
    <n v="2500"/>
    <x v="123"/>
    <n v="400"/>
    <n v="0.4"/>
  </r>
  <r>
    <x v="2"/>
    <x v="2"/>
    <x v="91"/>
    <x v="2"/>
    <s v="New Mexico"/>
    <s v="Albuquerque"/>
    <x v="4"/>
    <n v="0.45000000000000012"/>
    <n v="1750"/>
    <x v="545"/>
    <n v="275.62500000000006"/>
    <n v="0.35"/>
  </r>
  <r>
    <x v="2"/>
    <x v="2"/>
    <x v="91"/>
    <x v="2"/>
    <s v="New Mexico"/>
    <s v="Albuquerque"/>
    <x v="5"/>
    <n v="0.4"/>
    <n v="3750"/>
    <x v="146"/>
    <n v="375"/>
    <n v="0.25"/>
  </r>
  <r>
    <x v="2"/>
    <x v="2"/>
    <x v="92"/>
    <x v="2"/>
    <s v="New Mexico"/>
    <s v="Albuquerque"/>
    <x v="0"/>
    <n v="0.4"/>
    <n v="5250"/>
    <x v="193"/>
    <n v="840"/>
    <n v="0.4"/>
  </r>
  <r>
    <x v="2"/>
    <x v="2"/>
    <x v="92"/>
    <x v="2"/>
    <s v="New Mexico"/>
    <s v="Albuquerque"/>
    <x v="1"/>
    <n v="0.5"/>
    <n v="3750"/>
    <x v="203"/>
    <n v="750"/>
    <n v="0.4"/>
  </r>
  <r>
    <x v="2"/>
    <x v="2"/>
    <x v="92"/>
    <x v="2"/>
    <s v="New Mexico"/>
    <s v="Albuquerque"/>
    <x v="2"/>
    <n v="0.5"/>
    <n v="3750"/>
    <x v="203"/>
    <n v="656.25"/>
    <n v="0.35"/>
  </r>
  <r>
    <x v="2"/>
    <x v="2"/>
    <x v="92"/>
    <x v="2"/>
    <s v="New Mexico"/>
    <s v="Albuquerque"/>
    <x v="3"/>
    <n v="0.5"/>
    <n v="2500"/>
    <x v="142"/>
    <n v="500"/>
    <n v="0.4"/>
  </r>
  <r>
    <x v="2"/>
    <x v="2"/>
    <x v="92"/>
    <x v="2"/>
    <s v="New Mexico"/>
    <s v="Albuquerque"/>
    <x v="4"/>
    <n v="0.55000000000000004"/>
    <n v="1500"/>
    <x v="188"/>
    <n v="288.75"/>
    <n v="0.35"/>
  </r>
  <r>
    <x v="2"/>
    <x v="2"/>
    <x v="92"/>
    <x v="2"/>
    <s v="New Mexico"/>
    <s v="Albuquerque"/>
    <x v="5"/>
    <n v="0.5"/>
    <n v="3500"/>
    <x v="157"/>
    <n v="437.5"/>
    <n v="0.25"/>
  </r>
  <r>
    <x v="2"/>
    <x v="2"/>
    <x v="93"/>
    <x v="2"/>
    <s v="New Mexico"/>
    <s v="Albuquerque"/>
    <x v="0"/>
    <n v="0.5"/>
    <n v="5250"/>
    <x v="48"/>
    <n v="1050"/>
    <n v="0.4"/>
  </r>
  <r>
    <x v="2"/>
    <x v="2"/>
    <x v="93"/>
    <x v="2"/>
    <s v="New Mexico"/>
    <s v="Albuquerque"/>
    <x v="1"/>
    <n v="0.55000000000000004"/>
    <n v="3250"/>
    <x v="255"/>
    <n v="715.00000000000011"/>
    <n v="0.4"/>
  </r>
  <r>
    <x v="2"/>
    <x v="2"/>
    <x v="93"/>
    <x v="2"/>
    <s v="New Mexico"/>
    <s v="Albuquerque"/>
    <x v="2"/>
    <n v="0.55000000000000004"/>
    <n v="3750"/>
    <x v="138"/>
    <n v="721.875"/>
    <n v="0.35"/>
  </r>
  <r>
    <x v="2"/>
    <x v="2"/>
    <x v="93"/>
    <x v="2"/>
    <s v="New Mexico"/>
    <s v="Albuquerque"/>
    <x v="3"/>
    <n v="0.5"/>
    <n v="2750"/>
    <x v="140"/>
    <n v="550"/>
    <n v="0.4"/>
  </r>
  <r>
    <x v="2"/>
    <x v="2"/>
    <x v="93"/>
    <x v="2"/>
    <s v="New Mexico"/>
    <s v="Albuquerque"/>
    <x v="4"/>
    <n v="0.55000000000000004"/>
    <n v="1750"/>
    <x v="117"/>
    <n v="336.875"/>
    <n v="0.35"/>
  </r>
  <r>
    <x v="2"/>
    <x v="2"/>
    <x v="93"/>
    <x v="2"/>
    <s v="New Mexico"/>
    <s v="Albuquerque"/>
    <x v="5"/>
    <n v="0.70000000000000007"/>
    <n v="3500"/>
    <x v="196"/>
    <n v="612.50000000000011"/>
    <n v="0.25"/>
  </r>
  <r>
    <x v="2"/>
    <x v="2"/>
    <x v="94"/>
    <x v="2"/>
    <s v="New Mexico"/>
    <s v="Albuquerque"/>
    <x v="0"/>
    <n v="0.5"/>
    <n v="5500"/>
    <x v="80"/>
    <n v="1100"/>
    <n v="0.4"/>
  </r>
  <r>
    <x v="2"/>
    <x v="2"/>
    <x v="94"/>
    <x v="2"/>
    <s v="New Mexico"/>
    <s v="Albuquerque"/>
    <x v="1"/>
    <n v="0.55000000000000004"/>
    <n v="4000"/>
    <x v="42"/>
    <n v="880"/>
    <n v="0.4"/>
  </r>
  <r>
    <x v="2"/>
    <x v="2"/>
    <x v="94"/>
    <x v="2"/>
    <s v="New Mexico"/>
    <s v="Albuquerque"/>
    <x v="2"/>
    <n v="0.55000000000000004"/>
    <n v="4250"/>
    <x v="256"/>
    <n v="818.125"/>
    <n v="0.35"/>
  </r>
  <r>
    <x v="2"/>
    <x v="2"/>
    <x v="94"/>
    <x v="2"/>
    <s v="New Mexico"/>
    <s v="Albuquerque"/>
    <x v="3"/>
    <n v="0.5"/>
    <n v="3250"/>
    <x v="132"/>
    <n v="650"/>
    <n v="0.4"/>
  </r>
  <r>
    <x v="2"/>
    <x v="2"/>
    <x v="94"/>
    <x v="2"/>
    <s v="New Mexico"/>
    <s v="Albuquerque"/>
    <x v="4"/>
    <n v="0.55000000000000004"/>
    <n v="2250"/>
    <x v="116"/>
    <n v="433.125"/>
    <n v="0.35"/>
  </r>
  <r>
    <x v="2"/>
    <x v="2"/>
    <x v="94"/>
    <x v="2"/>
    <s v="New Mexico"/>
    <s v="Albuquerque"/>
    <x v="5"/>
    <n v="0.70000000000000007"/>
    <n v="4000"/>
    <x v="219"/>
    <n v="700.00000000000011"/>
    <n v="0.25"/>
  </r>
  <r>
    <x v="2"/>
    <x v="2"/>
    <x v="95"/>
    <x v="2"/>
    <s v="New Mexico"/>
    <s v="Albuquerque"/>
    <x v="0"/>
    <n v="0.5"/>
    <n v="6750"/>
    <x v="73"/>
    <n v="1350"/>
    <n v="0.4"/>
  </r>
  <r>
    <x v="2"/>
    <x v="2"/>
    <x v="95"/>
    <x v="2"/>
    <s v="New Mexico"/>
    <s v="Albuquerque"/>
    <x v="1"/>
    <n v="0.55000000000000004"/>
    <n v="5250"/>
    <x v="170"/>
    <n v="1155.0000000000002"/>
    <n v="0.4"/>
  </r>
  <r>
    <x v="2"/>
    <x v="2"/>
    <x v="95"/>
    <x v="2"/>
    <s v="New Mexico"/>
    <s v="Albuquerque"/>
    <x v="2"/>
    <n v="0.55000000000000004"/>
    <n v="5250"/>
    <x v="170"/>
    <n v="1010.6250000000001"/>
    <n v="0.35"/>
  </r>
  <r>
    <x v="2"/>
    <x v="2"/>
    <x v="95"/>
    <x v="2"/>
    <s v="New Mexico"/>
    <s v="Albuquerque"/>
    <x v="3"/>
    <n v="0.5"/>
    <n v="4000"/>
    <x v="47"/>
    <n v="800"/>
    <n v="0.4"/>
  </r>
  <r>
    <x v="2"/>
    <x v="2"/>
    <x v="95"/>
    <x v="2"/>
    <s v="New Mexico"/>
    <s v="Albuquerque"/>
    <x v="4"/>
    <n v="0.55000000000000004"/>
    <n v="2750"/>
    <x v="408"/>
    <n v="529.375"/>
    <n v="0.35"/>
  </r>
  <r>
    <x v="2"/>
    <x v="2"/>
    <x v="95"/>
    <x v="2"/>
    <s v="New Mexico"/>
    <s v="Albuquerque"/>
    <x v="5"/>
    <n v="0.70000000000000007"/>
    <n v="5750"/>
    <x v="243"/>
    <n v="1006.2500000000001"/>
    <n v="0.25"/>
  </r>
  <r>
    <x v="2"/>
    <x v="2"/>
    <x v="96"/>
    <x v="2"/>
    <s v="New Mexico"/>
    <s v="Albuquerque"/>
    <x v="0"/>
    <n v="0.5"/>
    <n v="7250"/>
    <x v="78"/>
    <n v="1450"/>
    <n v="0.4"/>
  </r>
  <r>
    <x v="2"/>
    <x v="2"/>
    <x v="96"/>
    <x v="2"/>
    <s v="New Mexico"/>
    <s v="Albuquerque"/>
    <x v="1"/>
    <n v="0.55000000000000004"/>
    <n v="5750"/>
    <x v="76"/>
    <n v="1265.0000000000002"/>
    <n v="0.4"/>
  </r>
  <r>
    <x v="2"/>
    <x v="2"/>
    <x v="96"/>
    <x v="2"/>
    <s v="New Mexico"/>
    <s v="Albuquerque"/>
    <x v="2"/>
    <n v="0.55000000000000004"/>
    <n v="5250"/>
    <x v="170"/>
    <n v="1010.6250000000001"/>
    <n v="0.35"/>
  </r>
  <r>
    <x v="2"/>
    <x v="2"/>
    <x v="96"/>
    <x v="2"/>
    <s v="New Mexico"/>
    <s v="Albuquerque"/>
    <x v="3"/>
    <n v="0.5"/>
    <n v="4250"/>
    <x v="43"/>
    <n v="850"/>
    <n v="0.4"/>
  </r>
  <r>
    <x v="2"/>
    <x v="2"/>
    <x v="96"/>
    <x v="2"/>
    <s v="New Mexico"/>
    <s v="Albuquerque"/>
    <x v="4"/>
    <n v="0.55000000000000004"/>
    <n v="4750"/>
    <x v="356"/>
    <n v="914.37499999999989"/>
    <n v="0.35"/>
  </r>
  <r>
    <x v="2"/>
    <x v="2"/>
    <x v="96"/>
    <x v="2"/>
    <s v="New Mexico"/>
    <s v="Albuquerque"/>
    <x v="5"/>
    <n v="0.70000000000000007"/>
    <n v="4750"/>
    <x v="204"/>
    <n v="831.25000000000011"/>
    <n v="0.25"/>
  </r>
  <r>
    <x v="2"/>
    <x v="2"/>
    <x v="97"/>
    <x v="2"/>
    <s v="New Mexico"/>
    <s v="Albuquerque"/>
    <x v="0"/>
    <n v="0.55000000000000004"/>
    <n v="6750"/>
    <x v="105"/>
    <n v="1485.0000000000002"/>
    <n v="0.4"/>
  </r>
  <r>
    <x v="2"/>
    <x v="2"/>
    <x v="97"/>
    <x v="2"/>
    <s v="New Mexico"/>
    <s v="Albuquerque"/>
    <x v="1"/>
    <n v="0.60000000000000009"/>
    <n v="6250"/>
    <x v="232"/>
    <n v="1500.0000000000002"/>
    <n v="0.4"/>
  </r>
  <r>
    <x v="2"/>
    <x v="2"/>
    <x v="97"/>
    <x v="2"/>
    <s v="New Mexico"/>
    <s v="Albuquerque"/>
    <x v="2"/>
    <n v="0.55000000000000004"/>
    <n v="5000"/>
    <x v="80"/>
    <n v="962.49999999999989"/>
    <n v="0.35"/>
  </r>
  <r>
    <x v="2"/>
    <x v="2"/>
    <x v="97"/>
    <x v="2"/>
    <s v="New Mexico"/>
    <s v="Albuquerque"/>
    <x v="3"/>
    <n v="0.55000000000000004"/>
    <n v="4500"/>
    <x v="111"/>
    <n v="990"/>
    <n v="0.4"/>
  </r>
  <r>
    <x v="2"/>
    <x v="2"/>
    <x v="97"/>
    <x v="2"/>
    <s v="New Mexico"/>
    <s v="Albuquerque"/>
    <x v="4"/>
    <n v="0.65"/>
    <n v="4500"/>
    <x v="62"/>
    <n v="1023.7499999999999"/>
    <n v="0.35"/>
  </r>
  <r>
    <x v="2"/>
    <x v="2"/>
    <x v="97"/>
    <x v="2"/>
    <s v="New Mexico"/>
    <s v="Albuquerque"/>
    <x v="5"/>
    <n v="0.70000000000000007"/>
    <n v="4250"/>
    <x v="253"/>
    <n v="743.75000000000011"/>
    <n v="0.25"/>
  </r>
  <r>
    <x v="2"/>
    <x v="2"/>
    <x v="98"/>
    <x v="2"/>
    <s v="New Mexico"/>
    <s v="Albuquerque"/>
    <x v="0"/>
    <n v="0.45000000000000012"/>
    <n v="6000"/>
    <x v="568"/>
    <n v="1080.0000000000005"/>
    <n v="0.4"/>
  </r>
  <r>
    <x v="2"/>
    <x v="2"/>
    <x v="98"/>
    <x v="2"/>
    <s v="New Mexico"/>
    <s v="Albuquerque"/>
    <x v="1"/>
    <n v="0.50000000000000011"/>
    <n v="6000"/>
    <x v="252"/>
    <n v="1200.0000000000002"/>
    <n v="0.4"/>
  </r>
  <r>
    <x v="2"/>
    <x v="2"/>
    <x v="98"/>
    <x v="2"/>
    <s v="New Mexico"/>
    <s v="Albuquerque"/>
    <x v="2"/>
    <n v="0.45000000000000012"/>
    <n v="4500"/>
    <x v="569"/>
    <n v="708.75000000000011"/>
    <n v="0.35"/>
  </r>
  <r>
    <x v="2"/>
    <x v="2"/>
    <x v="98"/>
    <x v="2"/>
    <s v="New Mexico"/>
    <s v="Albuquerque"/>
    <x v="3"/>
    <n v="0.45000000000000012"/>
    <n v="4000"/>
    <x v="549"/>
    <n v="720.00000000000023"/>
    <n v="0.4"/>
  </r>
  <r>
    <x v="2"/>
    <x v="2"/>
    <x v="98"/>
    <x v="2"/>
    <s v="New Mexico"/>
    <s v="Albuquerque"/>
    <x v="4"/>
    <n v="0.55000000000000004"/>
    <n v="4000"/>
    <x v="42"/>
    <n v="770"/>
    <n v="0.35"/>
  </r>
  <r>
    <x v="2"/>
    <x v="2"/>
    <x v="98"/>
    <x v="2"/>
    <s v="New Mexico"/>
    <s v="Albuquerque"/>
    <x v="5"/>
    <n v="0.60000000000000009"/>
    <n v="4500"/>
    <x v="217"/>
    <n v="675.00000000000011"/>
    <n v="0.25"/>
  </r>
  <r>
    <x v="2"/>
    <x v="2"/>
    <x v="99"/>
    <x v="2"/>
    <s v="New Mexico"/>
    <s v="Albuquerque"/>
    <x v="0"/>
    <n v="0.45000000000000012"/>
    <n v="5250"/>
    <x v="464"/>
    <n v="945.00000000000023"/>
    <n v="0.4"/>
  </r>
  <r>
    <x v="2"/>
    <x v="2"/>
    <x v="99"/>
    <x v="2"/>
    <s v="New Mexico"/>
    <s v="Albuquerque"/>
    <x v="1"/>
    <n v="0.50000000000000011"/>
    <n v="5250"/>
    <x v="195"/>
    <n v="1050.0000000000002"/>
    <n v="0.4"/>
  </r>
  <r>
    <x v="2"/>
    <x v="2"/>
    <x v="99"/>
    <x v="2"/>
    <s v="New Mexico"/>
    <s v="Albuquerque"/>
    <x v="2"/>
    <n v="0.45000000000000012"/>
    <n v="3500"/>
    <x v="570"/>
    <n v="551.25000000000011"/>
    <n v="0.35"/>
  </r>
  <r>
    <x v="2"/>
    <x v="2"/>
    <x v="99"/>
    <x v="2"/>
    <s v="New Mexico"/>
    <s v="Albuquerque"/>
    <x v="3"/>
    <n v="0.45000000000000012"/>
    <n v="3250"/>
    <x v="571"/>
    <n v="585.00000000000023"/>
    <n v="0.4"/>
  </r>
  <r>
    <x v="2"/>
    <x v="2"/>
    <x v="99"/>
    <x v="2"/>
    <s v="New Mexico"/>
    <s v="Albuquerque"/>
    <x v="4"/>
    <n v="0.55000000000000004"/>
    <n v="3000"/>
    <x v="205"/>
    <n v="577.5"/>
    <n v="0.35"/>
  </r>
  <r>
    <x v="2"/>
    <x v="2"/>
    <x v="99"/>
    <x v="2"/>
    <s v="New Mexico"/>
    <s v="Albuquerque"/>
    <x v="5"/>
    <n v="0.70000000000000007"/>
    <n v="3500"/>
    <x v="196"/>
    <n v="612.50000000000011"/>
    <n v="0.25"/>
  </r>
  <r>
    <x v="2"/>
    <x v="2"/>
    <x v="100"/>
    <x v="2"/>
    <s v="New Mexico"/>
    <s v="Albuquerque"/>
    <x v="0"/>
    <n v="0.55000000000000004"/>
    <n v="5250"/>
    <x v="170"/>
    <n v="1155.0000000000002"/>
    <n v="0.4"/>
  </r>
  <r>
    <x v="2"/>
    <x v="2"/>
    <x v="100"/>
    <x v="2"/>
    <s v="New Mexico"/>
    <s v="Albuquerque"/>
    <x v="1"/>
    <n v="0.60000000000000009"/>
    <n v="5750"/>
    <x v="225"/>
    <n v="1380.0000000000002"/>
    <n v="0.4"/>
  </r>
  <r>
    <x v="2"/>
    <x v="2"/>
    <x v="100"/>
    <x v="2"/>
    <s v="New Mexico"/>
    <s v="Albuquerque"/>
    <x v="2"/>
    <n v="0.55000000000000004"/>
    <n v="4250"/>
    <x v="256"/>
    <n v="818.125"/>
    <n v="0.35"/>
  </r>
  <r>
    <x v="2"/>
    <x v="2"/>
    <x v="100"/>
    <x v="2"/>
    <s v="New Mexico"/>
    <s v="Albuquerque"/>
    <x v="3"/>
    <n v="0.55000000000000004"/>
    <n v="4000"/>
    <x v="42"/>
    <n v="880"/>
    <n v="0.4"/>
  </r>
  <r>
    <x v="2"/>
    <x v="2"/>
    <x v="100"/>
    <x v="2"/>
    <s v="New Mexico"/>
    <s v="Albuquerque"/>
    <x v="4"/>
    <n v="0.65"/>
    <n v="3500"/>
    <x v="154"/>
    <n v="796.25"/>
    <n v="0.35"/>
  </r>
  <r>
    <x v="2"/>
    <x v="2"/>
    <x v="100"/>
    <x v="2"/>
    <s v="New Mexico"/>
    <s v="Albuquerque"/>
    <x v="5"/>
    <n v="0.70000000000000007"/>
    <n v="4750"/>
    <x v="204"/>
    <n v="831.25000000000011"/>
    <n v="0.25"/>
  </r>
  <r>
    <x v="2"/>
    <x v="2"/>
    <x v="101"/>
    <x v="2"/>
    <s v="New Mexico"/>
    <s v="Albuquerque"/>
    <x v="0"/>
    <n v="0.55000000000000004"/>
    <n v="6750"/>
    <x v="105"/>
    <n v="1485.0000000000002"/>
    <n v="0.4"/>
  </r>
  <r>
    <x v="2"/>
    <x v="2"/>
    <x v="101"/>
    <x v="2"/>
    <s v="New Mexico"/>
    <s v="Albuquerque"/>
    <x v="1"/>
    <n v="0.60000000000000009"/>
    <n v="6750"/>
    <x v="229"/>
    <n v="1620.0000000000002"/>
    <n v="0.4"/>
  </r>
  <r>
    <x v="2"/>
    <x v="2"/>
    <x v="101"/>
    <x v="2"/>
    <s v="New Mexico"/>
    <s v="Albuquerque"/>
    <x v="2"/>
    <n v="0.55000000000000004"/>
    <n v="4750"/>
    <x v="356"/>
    <n v="914.37499999999989"/>
    <n v="0.35"/>
  </r>
  <r>
    <x v="2"/>
    <x v="2"/>
    <x v="101"/>
    <x v="2"/>
    <s v="New Mexico"/>
    <s v="Albuquerque"/>
    <x v="3"/>
    <n v="0.55000000000000004"/>
    <n v="4750"/>
    <x v="356"/>
    <n v="1045"/>
    <n v="0.4"/>
  </r>
  <r>
    <x v="2"/>
    <x v="2"/>
    <x v="101"/>
    <x v="2"/>
    <s v="New Mexico"/>
    <s v="Albuquerque"/>
    <x v="4"/>
    <n v="0.65"/>
    <n v="4000"/>
    <x v="51"/>
    <n v="909.99999999999989"/>
    <n v="0.35"/>
  </r>
  <r>
    <x v="2"/>
    <x v="2"/>
    <x v="101"/>
    <x v="2"/>
    <s v="New Mexico"/>
    <s v="Albuquerque"/>
    <x v="5"/>
    <n v="0.70000000000000007"/>
    <n v="5000"/>
    <x v="248"/>
    <n v="875.00000000000011"/>
    <n v="0.25"/>
  </r>
  <r>
    <x v="0"/>
    <x v="0"/>
    <x v="204"/>
    <x v="4"/>
    <s v="Georgia"/>
    <s v="Atlanta"/>
    <x v="0"/>
    <n v="0.4"/>
    <n v="10250"/>
    <x v="463"/>
    <n v="1845"/>
    <n v="0.45"/>
  </r>
  <r>
    <x v="0"/>
    <x v="0"/>
    <x v="204"/>
    <x v="4"/>
    <s v="Georgia"/>
    <s v="Atlanta"/>
    <x v="1"/>
    <n v="0.4"/>
    <n v="8250"/>
    <x v="211"/>
    <n v="1155"/>
    <n v="0.35"/>
  </r>
  <r>
    <x v="0"/>
    <x v="0"/>
    <x v="204"/>
    <x v="4"/>
    <s v="Georgia"/>
    <s v="Atlanta"/>
    <x v="2"/>
    <n v="0.30000000000000004"/>
    <n v="8250"/>
    <x v="468"/>
    <n v="618.75000000000011"/>
    <n v="0.25"/>
  </r>
  <r>
    <x v="0"/>
    <x v="0"/>
    <x v="204"/>
    <x v="4"/>
    <s v="Georgia"/>
    <s v="Atlanta"/>
    <x v="3"/>
    <n v="0.35"/>
    <n v="6750"/>
    <x v="45"/>
    <n v="708.75"/>
    <n v="0.3"/>
  </r>
  <r>
    <x v="0"/>
    <x v="0"/>
    <x v="204"/>
    <x v="4"/>
    <s v="Georgia"/>
    <s v="Atlanta"/>
    <x v="4"/>
    <n v="0.5"/>
    <n v="7250"/>
    <x v="78"/>
    <n v="1268.75"/>
    <n v="0.35"/>
  </r>
  <r>
    <x v="0"/>
    <x v="0"/>
    <x v="204"/>
    <x v="4"/>
    <s v="Georgia"/>
    <s v="Atlanta"/>
    <x v="5"/>
    <n v="0.4"/>
    <n v="8250"/>
    <x v="211"/>
    <n v="1650"/>
    <n v="0.5"/>
  </r>
  <r>
    <x v="0"/>
    <x v="0"/>
    <x v="205"/>
    <x v="4"/>
    <s v="Georgia"/>
    <s v="Atlanta"/>
    <x v="0"/>
    <n v="0.4"/>
    <n v="10750"/>
    <x v="572"/>
    <n v="1935"/>
    <n v="0.45"/>
  </r>
  <r>
    <x v="0"/>
    <x v="0"/>
    <x v="205"/>
    <x v="4"/>
    <s v="Georgia"/>
    <s v="Atlanta"/>
    <x v="1"/>
    <n v="0.4"/>
    <n v="7250"/>
    <x v="174"/>
    <n v="1014.9999999999999"/>
    <n v="0.35"/>
  </r>
  <r>
    <x v="0"/>
    <x v="0"/>
    <x v="205"/>
    <x v="4"/>
    <s v="Georgia"/>
    <s v="Atlanta"/>
    <x v="2"/>
    <n v="0.30000000000000004"/>
    <n v="7750"/>
    <x v="168"/>
    <n v="581.25000000000011"/>
    <n v="0.25"/>
  </r>
  <r>
    <x v="0"/>
    <x v="0"/>
    <x v="205"/>
    <x v="4"/>
    <s v="Georgia"/>
    <s v="Atlanta"/>
    <x v="3"/>
    <n v="0.35"/>
    <n v="6250"/>
    <x v="46"/>
    <n v="656.25"/>
    <n v="0.3"/>
  </r>
  <r>
    <x v="0"/>
    <x v="0"/>
    <x v="205"/>
    <x v="4"/>
    <s v="Georgia"/>
    <s v="Atlanta"/>
    <x v="4"/>
    <n v="0.5"/>
    <n v="7000"/>
    <x v="49"/>
    <n v="1225"/>
    <n v="0.35"/>
  </r>
  <r>
    <x v="0"/>
    <x v="0"/>
    <x v="205"/>
    <x v="4"/>
    <s v="Georgia"/>
    <s v="Atlanta"/>
    <x v="5"/>
    <n v="0.35"/>
    <n v="8000"/>
    <x v="59"/>
    <n v="1400"/>
    <n v="0.5"/>
  </r>
  <r>
    <x v="0"/>
    <x v="0"/>
    <x v="115"/>
    <x v="4"/>
    <s v="Georgia"/>
    <s v="Atlanta"/>
    <x v="0"/>
    <n v="0.35"/>
    <n v="10200"/>
    <x v="573"/>
    <n v="1606.5"/>
    <n v="0.45"/>
  </r>
  <r>
    <x v="0"/>
    <x v="0"/>
    <x v="115"/>
    <x v="4"/>
    <s v="Georgia"/>
    <s v="Atlanta"/>
    <x v="1"/>
    <n v="0.35"/>
    <n v="7000"/>
    <x v="41"/>
    <n v="857.5"/>
    <n v="0.35"/>
  </r>
  <r>
    <x v="0"/>
    <x v="0"/>
    <x v="115"/>
    <x v="4"/>
    <s v="Georgia"/>
    <s v="Atlanta"/>
    <x v="2"/>
    <n v="0.25"/>
    <n v="7250"/>
    <x v="522"/>
    <n v="453.125"/>
    <n v="0.25"/>
  </r>
  <r>
    <x v="0"/>
    <x v="0"/>
    <x v="115"/>
    <x v="4"/>
    <s v="Georgia"/>
    <s v="Atlanta"/>
    <x v="3"/>
    <n v="0.29999999999999993"/>
    <n v="5750"/>
    <x v="574"/>
    <n v="517.49999999999989"/>
    <n v="0.3"/>
  </r>
  <r>
    <x v="0"/>
    <x v="0"/>
    <x v="115"/>
    <x v="4"/>
    <s v="Georgia"/>
    <s v="Atlanta"/>
    <x v="4"/>
    <n v="0.45000000000000007"/>
    <n v="6250"/>
    <x v="224"/>
    <n v="984.37500000000011"/>
    <n v="0.35"/>
  </r>
  <r>
    <x v="0"/>
    <x v="0"/>
    <x v="115"/>
    <x v="4"/>
    <s v="Georgia"/>
    <s v="Atlanta"/>
    <x v="5"/>
    <n v="0.35"/>
    <n v="7250"/>
    <x v="53"/>
    <n v="1268.75"/>
    <n v="0.5"/>
  </r>
  <r>
    <x v="0"/>
    <x v="0"/>
    <x v="206"/>
    <x v="4"/>
    <s v="Georgia"/>
    <s v="Atlanta"/>
    <x v="0"/>
    <n v="0.35"/>
    <n v="9750"/>
    <x v="85"/>
    <n v="1535.625"/>
    <n v="0.45"/>
  </r>
  <r>
    <x v="0"/>
    <x v="0"/>
    <x v="206"/>
    <x v="4"/>
    <s v="Georgia"/>
    <s v="Atlanta"/>
    <x v="1"/>
    <n v="0.35"/>
    <n v="6750"/>
    <x v="45"/>
    <n v="826.875"/>
    <n v="0.35"/>
  </r>
  <r>
    <x v="0"/>
    <x v="0"/>
    <x v="206"/>
    <x v="4"/>
    <s v="Georgia"/>
    <s v="Atlanta"/>
    <x v="2"/>
    <n v="0.25"/>
    <n v="6750"/>
    <x v="153"/>
    <n v="421.875"/>
    <n v="0.25"/>
  </r>
  <r>
    <x v="0"/>
    <x v="0"/>
    <x v="206"/>
    <x v="4"/>
    <s v="Georgia"/>
    <s v="Atlanta"/>
    <x v="3"/>
    <n v="0.29999999999999993"/>
    <n v="6000"/>
    <x v="575"/>
    <n v="539.99999999999989"/>
    <n v="0.3"/>
  </r>
  <r>
    <x v="0"/>
    <x v="0"/>
    <x v="206"/>
    <x v="4"/>
    <s v="Georgia"/>
    <s v="Atlanta"/>
    <x v="4"/>
    <n v="0.5"/>
    <n v="6250"/>
    <x v="66"/>
    <n v="1093.75"/>
    <n v="0.35"/>
  </r>
  <r>
    <x v="0"/>
    <x v="0"/>
    <x v="206"/>
    <x v="4"/>
    <s v="Georgia"/>
    <s v="Atlanta"/>
    <x v="5"/>
    <n v="0.4"/>
    <n v="7750"/>
    <x v="349"/>
    <n v="1550"/>
    <n v="0.5"/>
  </r>
  <r>
    <x v="0"/>
    <x v="0"/>
    <x v="174"/>
    <x v="4"/>
    <s v="Georgia"/>
    <s v="Atlanta"/>
    <x v="0"/>
    <n v="0.5"/>
    <n v="10450"/>
    <x v="37"/>
    <n v="2351.25"/>
    <n v="0.45"/>
  </r>
  <r>
    <x v="0"/>
    <x v="0"/>
    <x v="174"/>
    <x v="4"/>
    <s v="Georgia"/>
    <s v="Atlanta"/>
    <x v="1"/>
    <n v="0.5"/>
    <n v="7500"/>
    <x v="69"/>
    <n v="1312.5"/>
    <n v="0.35"/>
  </r>
  <r>
    <x v="0"/>
    <x v="0"/>
    <x v="174"/>
    <x v="4"/>
    <s v="Georgia"/>
    <s v="Atlanta"/>
    <x v="2"/>
    <n v="0.45"/>
    <n v="7250"/>
    <x v="292"/>
    <n v="815.625"/>
    <n v="0.25"/>
  </r>
  <r>
    <x v="0"/>
    <x v="0"/>
    <x v="174"/>
    <x v="4"/>
    <s v="Georgia"/>
    <s v="Atlanta"/>
    <x v="3"/>
    <n v="0.45"/>
    <n v="6750"/>
    <x v="112"/>
    <n v="911.25"/>
    <n v="0.3"/>
  </r>
  <r>
    <x v="0"/>
    <x v="0"/>
    <x v="174"/>
    <x v="4"/>
    <s v="Georgia"/>
    <s v="Atlanta"/>
    <x v="4"/>
    <n v="0.54999999999999993"/>
    <n v="7000"/>
    <x v="265"/>
    <n v="1347.4999999999998"/>
    <n v="0.35"/>
  </r>
  <r>
    <x v="0"/>
    <x v="0"/>
    <x v="174"/>
    <x v="4"/>
    <s v="Georgia"/>
    <s v="Atlanta"/>
    <x v="5"/>
    <n v="0.6"/>
    <n v="8000"/>
    <x v="213"/>
    <n v="2400"/>
    <n v="0.5"/>
  </r>
  <r>
    <x v="0"/>
    <x v="0"/>
    <x v="207"/>
    <x v="4"/>
    <s v="Georgia"/>
    <s v="Atlanta"/>
    <x v="0"/>
    <n v="0.54999999999999993"/>
    <n v="10500"/>
    <x v="576"/>
    <n v="2598.7499999999995"/>
    <n v="0.45"/>
  </r>
  <r>
    <x v="0"/>
    <x v="0"/>
    <x v="207"/>
    <x v="4"/>
    <s v="Georgia"/>
    <s v="Atlanta"/>
    <x v="1"/>
    <n v="0.5"/>
    <n v="8000"/>
    <x v="2"/>
    <n v="1400"/>
    <n v="0.35"/>
  </r>
  <r>
    <x v="0"/>
    <x v="0"/>
    <x v="207"/>
    <x v="4"/>
    <s v="Georgia"/>
    <s v="Atlanta"/>
    <x v="2"/>
    <n v="0.5"/>
    <n v="7750"/>
    <x v="75"/>
    <n v="968.75"/>
    <n v="0.25"/>
  </r>
  <r>
    <x v="0"/>
    <x v="0"/>
    <x v="207"/>
    <x v="4"/>
    <s v="Georgia"/>
    <s v="Atlanta"/>
    <x v="3"/>
    <n v="0.5"/>
    <n v="7500"/>
    <x v="69"/>
    <n v="1125"/>
    <n v="0.3"/>
  </r>
  <r>
    <x v="0"/>
    <x v="0"/>
    <x v="207"/>
    <x v="4"/>
    <s v="Georgia"/>
    <s v="Atlanta"/>
    <x v="4"/>
    <n v="0.65"/>
    <n v="7500"/>
    <x v="64"/>
    <n v="1706.25"/>
    <n v="0.35"/>
  </r>
  <r>
    <x v="0"/>
    <x v="0"/>
    <x v="207"/>
    <x v="4"/>
    <s v="Georgia"/>
    <s v="Atlanta"/>
    <x v="5"/>
    <n v="0.70000000000000007"/>
    <n v="9250"/>
    <x v="96"/>
    <n v="3237.5000000000005"/>
    <n v="0.5"/>
  </r>
  <r>
    <x v="0"/>
    <x v="0"/>
    <x v="116"/>
    <x v="4"/>
    <s v="Georgia"/>
    <s v="Atlanta"/>
    <x v="0"/>
    <n v="0.65"/>
    <n v="11500"/>
    <x v="33"/>
    <n v="3363.75"/>
    <n v="0.45"/>
  </r>
  <r>
    <x v="0"/>
    <x v="0"/>
    <x v="116"/>
    <x v="4"/>
    <s v="Georgia"/>
    <s v="Atlanta"/>
    <x v="1"/>
    <n v="0.60000000000000009"/>
    <n v="9000"/>
    <x v="296"/>
    <n v="1890.0000000000002"/>
    <n v="0.35"/>
  </r>
  <r>
    <x v="0"/>
    <x v="0"/>
    <x v="116"/>
    <x v="4"/>
    <s v="Georgia"/>
    <s v="Atlanta"/>
    <x v="2"/>
    <n v="0.55000000000000004"/>
    <n v="8250"/>
    <x v="114"/>
    <n v="1134.375"/>
    <n v="0.25"/>
  </r>
  <r>
    <x v="0"/>
    <x v="0"/>
    <x v="116"/>
    <x v="4"/>
    <s v="Georgia"/>
    <s v="Atlanta"/>
    <x v="3"/>
    <n v="0.55000000000000004"/>
    <n v="7750"/>
    <x v="100"/>
    <n v="1278.75"/>
    <n v="0.3"/>
  </r>
  <r>
    <x v="0"/>
    <x v="0"/>
    <x v="116"/>
    <x v="4"/>
    <s v="Georgia"/>
    <s v="Atlanta"/>
    <x v="4"/>
    <n v="0.65"/>
    <n v="8000"/>
    <x v="97"/>
    <n v="1819.9999999999998"/>
    <n v="0.35"/>
  </r>
  <r>
    <x v="0"/>
    <x v="0"/>
    <x v="116"/>
    <x v="4"/>
    <s v="Georgia"/>
    <s v="Atlanta"/>
    <x v="5"/>
    <n v="0.70000000000000007"/>
    <n v="9750"/>
    <x v="297"/>
    <n v="3412.5000000000005"/>
    <n v="0.5"/>
  </r>
  <r>
    <x v="0"/>
    <x v="0"/>
    <x v="208"/>
    <x v="4"/>
    <s v="Georgia"/>
    <s v="Atlanta"/>
    <x v="0"/>
    <n v="0.65"/>
    <n v="11250"/>
    <x v="298"/>
    <n v="3290.625"/>
    <n v="0.45"/>
  </r>
  <r>
    <x v="0"/>
    <x v="0"/>
    <x v="208"/>
    <x v="4"/>
    <s v="Georgia"/>
    <s v="Atlanta"/>
    <x v="1"/>
    <n v="0.60000000000000009"/>
    <n v="9000"/>
    <x v="296"/>
    <n v="1890.0000000000002"/>
    <n v="0.35"/>
  </r>
  <r>
    <x v="0"/>
    <x v="0"/>
    <x v="208"/>
    <x v="4"/>
    <s v="Georgia"/>
    <s v="Atlanta"/>
    <x v="2"/>
    <n v="0.55000000000000004"/>
    <n v="8250"/>
    <x v="114"/>
    <n v="1134.375"/>
    <n v="0.25"/>
  </r>
  <r>
    <x v="0"/>
    <x v="0"/>
    <x v="208"/>
    <x v="4"/>
    <s v="Georgia"/>
    <s v="Atlanta"/>
    <x v="3"/>
    <n v="0.45"/>
    <n v="7750"/>
    <x v="290"/>
    <n v="1046.25"/>
    <n v="0.3"/>
  </r>
  <r>
    <x v="0"/>
    <x v="0"/>
    <x v="208"/>
    <x v="4"/>
    <s v="Georgia"/>
    <s v="Atlanta"/>
    <x v="4"/>
    <n v="0.55000000000000004"/>
    <n v="7500"/>
    <x v="71"/>
    <n v="1443.75"/>
    <n v="0.35"/>
  </r>
  <r>
    <x v="0"/>
    <x v="0"/>
    <x v="208"/>
    <x v="4"/>
    <s v="Georgia"/>
    <s v="Atlanta"/>
    <x v="5"/>
    <n v="0.60000000000000009"/>
    <n v="9250"/>
    <x v="99"/>
    <n v="2775.0000000000005"/>
    <n v="0.5"/>
  </r>
  <r>
    <x v="0"/>
    <x v="0"/>
    <x v="178"/>
    <x v="4"/>
    <s v="Georgia"/>
    <s v="Atlanta"/>
    <x v="0"/>
    <n v="0.55000000000000004"/>
    <n v="10250"/>
    <x v="24"/>
    <n v="2536.8750000000005"/>
    <n v="0.45"/>
  </r>
  <r>
    <x v="0"/>
    <x v="0"/>
    <x v="178"/>
    <x v="4"/>
    <s v="Georgia"/>
    <s v="Atlanta"/>
    <x v="1"/>
    <n v="0.50000000000000011"/>
    <n v="8250"/>
    <x v="302"/>
    <n v="1443.7500000000002"/>
    <n v="0.35"/>
  </r>
  <r>
    <x v="0"/>
    <x v="0"/>
    <x v="178"/>
    <x v="4"/>
    <s v="Georgia"/>
    <s v="Atlanta"/>
    <x v="2"/>
    <n v="0.4"/>
    <n v="7250"/>
    <x v="174"/>
    <n v="725"/>
    <n v="0.25"/>
  </r>
  <r>
    <x v="0"/>
    <x v="0"/>
    <x v="178"/>
    <x v="4"/>
    <s v="Georgia"/>
    <s v="Atlanta"/>
    <x v="3"/>
    <n v="0.4"/>
    <n v="7000"/>
    <x v="59"/>
    <n v="840"/>
    <n v="0.3"/>
  </r>
  <r>
    <x v="0"/>
    <x v="0"/>
    <x v="178"/>
    <x v="4"/>
    <s v="Georgia"/>
    <s v="Atlanta"/>
    <x v="4"/>
    <n v="0.5"/>
    <n v="7000"/>
    <x v="49"/>
    <n v="1225"/>
    <n v="0.35"/>
  </r>
  <r>
    <x v="0"/>
    <x v="0"/>
    <x v="178"/>
    <x v="4"/>
    <s v="Georgia"/>
    <s v="Atlanta"/>
    <x v="5"/>
    <n v="0.55000000000000004"/>
    <n v="8000"/>
    <x v="63"/>
    <n v="2200"/>
    <n v="0.5"/>
  </r>
  <r>
    <x v="0"/>
    <x v="0"/>
    <x v="209"/>
    <x v="4"/>
    <s v="Georgia"/>
    <s v="Atlanta"/>
    <x v="0"/>
    <n v="0.55000000000000004"/>
    <n v="9750"/>
    <x v="34"/>
    <n v="2413.125"/>
    <n v="0.45"/>
  </r>
  <r>
    <x v="0"/>
    <x v="0"/>
    <x v="209"/>
    <x v="4"/>
    <s v="Georgia"/>
    <s v="Atlanta"/>
    <x v="1"/>
    <n v="0.45000000000000012"/>
    <n v="8000"/>
    <x v="577"/>
    <n v="1260.0000000000002"/>
    <n v="0.35"/>
  </r>
  <r>
    <x v="0"/>
    <x v="0"/>
    <x v="209"/>
    <x v="4"/>
    <s v="Georgia"/>
    <s v="Atlanta"/>
    <x v="2"/>
    <n v="0.45000000000000012"/>
    <n v="6750"/>
    <x v="578"/>
    <n v="759.37500000000023"/>
    <n v="0.25"/>
  </r>
  <r>
    <x v="0"/>
    <x v="0"/>
    <x v="209"/>
    <x v="4"/>
    <s v="Georgia"/>
    <s v="Atlanta"/>
    <x v="3"/>
    <n v="0.45000000000000012"/>
    <n v="6500"/>
    <x v="579"/>
    <n v="877.50000000000023"/>
    <n v="0.3"/>
  </r>
  <r>
    <x v="0"/>
    <x v="0"/>
    <x v="209"/>
    <x v="4"/>
    <s v="Georgia"/>
    <s v="Atlanta"/>
    <x v="4"/>
    <n v="0.55000000000000004"/>
    <n v="6500"/>
    <x v="465"/>
    <n v="1251.25"/>
    <n v="0.35"/>
  </r>
  <r>
    <x v="0"/>
    <x v="0"/>
    <x v="209"/>
    <x v="4"/>
    <s v="Georgia"/>
    <s v="Atlanta"/>
    <x v="5"/>
    <n v="0.6"/>
    <n v="7750"/>
    <x v="171"/>
    <n v="2325"/>
    <n v="0.5"/>
  </r>
  <r>
    <x v="0"/>
    <x v="0"/>
    <x v="210"/>
    <x v="4"/>
    <s v="Georgia"/>
    <s v="Atlanta"/>
    <x v="0"/>
    <n v="0.55000000000000004"/>
    <n v="9250"/>
    <x v="16"/>
    <n v="2289.375"/>
    <n v="0.45"/>
  </r>
  <r>
    <x v="0"/>
    <x v="0"/>
    <x v="210"/>
    <x v="4"/>
    <s v="Georgia"/>
    <s v="Atlanta"/>
    <x v="1"/>
    <n v="0.45000000000000012"/>
    <n v="7500"/>
    <x v="492"/>
    <n v="1181.2500000000002"/>
    <n v="0.35"/>
  </r>
  <r>
    <x v="0"/>
    <x v="0"/>
    <x v="210"/>
    <x v="4"/>
    <s v="Georgia"/>
    <s v="Atlanta"/>
    <x v="2"/>
    <n v="0.45000000000000012"/>
    <n v="6950"/>
    <x v="580"/>
    <n v="781.87500000000023"/>
    <n v="0.25"/>
  </r>
  <r>
    <x v="0"/>
    <x v="0"/>
    <x v="210"/>
    <x v="4"/>
    <s v="Georgia"/>
    <s v="Atlanta"/>
    <x v="3"/>
    <n v="0.55000000000000016"/>
    <n v="7500"/>
    <x v="302"/>
    <n v="1237.5000000000002"/>
    <n v="0.3"/>
  </r>
  <r>
    <x v="0"/>
    <x v="0"/>
    <x v="210"/>
    <x v="4"/>
    <s v="Georgia"/>
    <s v="Atlanta"/>
    <x v="4"/>
    <n v="0.70000000000000007"/>
    <n v="7250"/>
    <x v="246"/>
    <n v="1776.2500000000002"/>
    <n v="0.35"/>
  </r>
  <r>
    <x v="0"/>
    <x v="0"/>
    <x v="210"/>
    <x v="4"/>
    <s v="Georgia"/>
    <s v="Atlanta"/>
    <x v="5"/>
    <n v="0.75"/>
    <n v="8250"/>
    <x v="581"/>
    <n v="3093.75"/>
    <n v="0.5"/>
  </r>
  <r>
    <x v="0"/>
    <x v="0"/>
    <x v="211"/>
    <x v="4"/>
    <s v="Georgia"/>
    <s v="Atlanta"/>
    <x v="0"/>
    <n v="0.70000000000000007"/>
    <n v="10750"/>
    <x v="582"/>
    <n v="3386.2500000000005"/>
    <n v="0.45"/>
  </r>
  <r>
    <x v="0"/>
    <x v="0"/>
    <x v="211"/>
    <x v="4"/>
    <s v="Georgia"/>
    <s v="Atlanta"/>
    <x v="1"/>
    <n v="0.60000000000000009"/>
    <n v="8750"/>
    <x v="103"/>
    <n v="1837.5000000000002"/>
    <n v="0.35"/>
  </r>
  <r>
    <x v="0"/>
    <x v="0"/>
    <x v="211"/>
    <x v="4"/>
    <s v="Georgia"/>
    <s v="Atlanta"/>
    <x v="2"/>
    <n v="0.60000000000000009"/>
    <n v="8250"/>
    <x v="301"/>
    <n v="1237.5000000000002"/>
    <n v="0.25"/>
  </r>
  <r>
    <x v="0"/>
    <x v="0"/>
    <x v="211"/>
    <x v="4"/>
    <s v="Georgia"/>
    <s v="Atlanta"/>
    <x v="3"/>
    <n v="0.60000000000000009"/>
    <n v="7750"/>
    <x v="458"/>
    <n v="1395.0000000000002"/>
    <n v="0.3"/>
  </r>
  <r>
    <x v="0"/>
    <x v="0"/>
    <x v="211"/>
    <x v="4"/>
    <s v="Georgia"/>
    <s v="Atlanta"/>
    <x v="4"/>
    <n v="0.70000000000000007"/>
    <n v="7750"/>
    <x v="102"/>
    <n v="1898.7500000000002"/>
    <n v="0.35"/>
  </r>
  <r>
    <x v="0"/>
    <x v="0"/>
    <x v="211"/>
    <x v="4"/>
    <s v="Georgia"/>
    <s v="Atlanta"/>
    <x v="5"/>
    <n v="0.75"/>
    <n v="8750"/>
    <x v="583"/>
    <n v="3281.25"/>
    <n v="0.5"/>
  </r>
  <r>
    <x v="0"/>
    <x v="0"/>
    <x v="212"/>
    <x v="4"/>
    <s v="South Carolina"/>
    <s v="Charleston"/>
    <x v="0"/>
    <n v="0.35000000000000003"/>
    <n v="9250"/>
    <x v="584"/>
    <n v="1295.0000000000002"/>
    <n v="0.4"/>
  </r>
  <r>
    <x v="0"/>
    <x v="0"/>
    <x v="212"/>
    <x v="4"/>
    <s v="South Carolina"/>
    <s v="Charleston"/>
    <x v="1"/>
    <n v="0.35000000000000003"/>
    <n v="7250"/>
    <x v="293"/>
    <n v="888.12500000000011"/>
    <n v="0.35"/>
  </r>
  <r>
    <x v="0"/>
    <x v="0"/>
    <x v="212"/>
    <x v="4"/>
    <s v="South Carolina"/>
    <s v="Charleston"/>
    <x v="2"/>
    <n v="0.25000000000000006"/>
    <n v="7250"/>
    <x v="585"/>
    <n v="725.00000000000023"/>
    <n v="0.4"/>
  </r>
  <r>
    <x v="0"/>
    <x v="0"/>
    <x v="212"/>
    <x v="4"/>
    <s v="South Carolina"/>
    <s v="Charleston"/>
    <x v="3"/>
    <n v="0.3"/>
    <n v="5750"/>
    <x v="539"/>
    <n v="690"/>
    <n v="0.4"/>
  </r>
  <r>
    <x v="0"/>
    <x v="0"/>
    <x v="212"/>
    <x v="4"/>
    <s v="South Carolina"/>
    <s v="Charleston"/>
    <x v="4"/>
    <n v="0.45"/>
    <n v="6250"/>
    <x v="67"/>
    <n v="984.37499999999989"/>
    <n v="0.35"/>
  </r>
  <r>
    <x v="0"/>
    <x v="0"/>
    <x v="212"/>
    <x v="4"/>
    <s v="South Carolina"/>
    <s v="Charleston"/>
    <x v="5"/>
    <n v="0.35000000000000003"/>
    <n v="7250"/>
    <x v="293"/>
    <n v="1268.7500000000002"/>
    <n v="0.5"/>
  </r>
  <r>
    <x v="0"/>
    <x v="0"/>
    <x v="172"/>
    <x v="4"/>
    <s v="South Carolina"/>
    <s v="Charleston"/>
    <x v="0"/>
    <n v="0.35000000000000003"/>
    <n v="9750"/>
    <x v="586"/>
    <n v="1365.0000000000002"/>
    <n v="0.4"/>
  </r>
  <r>
    <x v="0"/>
    <x v="0"/>
    <x v="172"/>
    <x v="4"/>
    <s v="South Carolina"/>
    <s v="Charleston"/>
    <x v="1"/>
    <n v="0.35000000000000003"/>
    <n v="6250"/>
    <x v="46"/>
    <n v="765.625"/>
    <n v="0.35"/>
  </r>
  <r>
    <x v="0"/>
    <x v="0"/>
    <x v="172"/>
    <x v="4"/>
    <s v="South Carolina"/>
    <s v="Charleston"/>
    <x v="2"/>
    <n v="0.25000000000000006"/>
    <n v="6750"/>
    <x v="344"/>
    <n v="675.00000000000023"/>
    <n v="0.4"/>
  </r>
  <r>
    <x v="0"/>
    <x v="0"/>
    <x v="172"/>
    <x v="4"/>
    <s v="South Carolina"/>
    <s v="Charleston"/>
    <x v="3"/>
    <n v="0.3"/>
    <n v="5250"/>
    <x v="151"/>
    <n v="630"/>
    <n v="0.4"/>
  </r>
  <r>
    <x v="0"/>
    <x v="0"/>
    <x v="172"/>
    <x v="4"/>
    <s v="South Carolina"/>
    <s v="Charleston"/>
    <x v="4"/>
    <n v="0.45"/>
    <n v="6000"/>
    <x v="52"/>
    <n v="944.99999999999989"/>
    <n v="0.35"/>
  </r>
  <r>
    <x v="0"/>
    <x v="0"/>
    <x v="172"/>
    <x v="4"/>
    <s v="South Carolina"/>
    <s v="Charleston"/>
    <x v="5"/>
    <n v="0.3"/>
    <n v="7000"/>
    <x v="193"/>
    <n v="1050"/>
    <n v="0.5"/>
  </r>
  <r>
    <x v="0"/>
    <x v="0"/>
    <x v="68"/>
    <x v="4"/>
    <s v="South Carolina"/>
    <s v="Charleston"/>
    <x v="0"/>
    <n v="0.3"/>
    <n v="9200"/>
    <x v="587"/>
    <n v="1104"/>
    <n v="0.4"/>
  </r>
  <r>
    <x v="0"/>
    <x v="0"/>
    <x v="68"/>
    <x v="4"/>
    <s v="South Carolina"/>
    <s v="Charleston"/>
    <x v="1"/>
    <n v="0.3"/>
    <n v="6000"/>
    <x v="207"/>
    <n v="630"/>
    <n v="0.35"/>
  </r>
  <r>
    <x v="0"/>
    <x v="0"/>
    <x v="68"/>
    <x v="4"/>
    <s v="South Carolina"/>
    <s v="Charleston"/>
    <x v="2"/>
    <n v="0.2"/>
    <n v="6250"/>
    <x v="142"/>
    <n v="500"/>
    <n v="0.4"/>
  </r>
  <r>
    <x v="0"/>
    <x v="0"/>
    <x v="68"/>
    <x v="4"/>
    <s v="South Carolina"/>
    <s v="Charleston"/>
    <x v="3"/>
    <n v="0.24999999999999994"/>
    <n v="4750"/>
    <x v="552"/>
    <n v="474.99999999999994"/>
    <n v="0.4"/>
  </r>
  <r>
    <x v="0"/>
    <x v="0"/>
    <x v="68"/>
    <x v="4"/>
    <s v="South Carolina"/>
    <s v="Charleston"/>
    <x v="4"/>
    <n v="0.40000000000000008"/>
    <n v="5250"/>
    <x v="162"/>
    <n v="735.00000000000011"/>
    <n v="0.35"/>
  </r>
  <r>
    <x v="0"/>
    <x v="0"/>
    <x v="68"/>
    <x v="4"/>
    <s v="South Carolina"/>
    <s v="Charleston"/>
    <x v="5"/>
    <n v="0.3"/>
    <n v="6250"/>
    <x v="203"/>
    <n v="937.5"/>
    <n v="0.5"/>
  </r>
  <r>
    <x v="0"/>
    <x v="0"/>
    <x v="69"/>
    <x v="4"/>
    <s v="South Carolina"/>
    <s v="Charleston"/>
    <x v="0"/>
    <n v="0.3"/>
    <n v="8750"/>
    <x v="48"/>
    <n v="1050"/>
    <n v="0.4"/>
  </r>
  <r>
    <x v="0"/>
    <x v="0"/>
    <x v="69"/>
    <x v="4"/>
    <s v="South Carolina"/>
    <s v="Charleston"/>
    <x v="1"/>
    <n v="0.3"/>
    <n v="5750"/>
    <x v="539"/>
    <n v="603.75"/>
    <n v="0.35"/>
  </r>
  <r>
    <x v="0"/>
    <x v="0"/>
    <x v="69"/>
    <x v="4"/>
    <s v="South Carolina"/>
    <s v="Charleston"/>
    <x v="2"/>
    <n v="0.2"/>
    <n v="5750"/>
    <x v="588"/>
    <n v="460"/>
    <n v="0.4"/>
  </r>
  <r>
    <x v="0"/>
    <x v="0"/>
    <x v="69"/>
    <x v="4"/>
    <s v="South Carolina"/>
    <s v="Charleston"/>
    <x v="3"/>
    <n v="0.24999999999999994"/>
    <n v="5000"/>
    <x v="589"/>
    <n v="499.99999999999994"/>
    <n v="0.4"/>
  </r>
  <r>
    <x v="0"/>
    <x v="0"/>
    <x v="69"/>
    <x v="4"/>
    <s v="South Carolina"/>
    <s v="Charleston"/>
    <x v="4"/>
    <n v="0.45"/>
    <n v="5250"/>
    <x v="45"/>
    <n v="826.875"/>
    <n v="0.35"/>
  </r>
  <r>
    <x v="0"/>
    <x v="0"/>
    <x v="69"/>
    <x v="4"/>
    <s v="South Carolina"/>
    <s v="Charleston"/>
    <x v="5"/>
    <n v="0.35000000000000003"/>
    <n v="6750"/>
    <x v="45"/>
    <n v="1181.25"/>
    <n v="0.5"/>
  </r>
  <r>
    <x v="0"/>
    <x v="0"/>
    <x v="16"/>
    <x v="4"/>
    <s v="South Carolina"/>
    <s v="Charleston"/>
    <x v="0"/>
    <n v="0.45"/>
    <n v="9450"/>
    <x v="590"/>
    <n v="1701"/>
    <n v="0.4"/>
  </r>
  <r>
    <x v="0"/>
    <x v="0"/>
    <x v="16"/>
    <x v="4"/>
    <s v="South Carolina"/>
    <s v="Charleston"/>
    <x v="1"/>
    <n v="0.45"/>
    <n v="6500"/>
    <x v="62"/>
    <n v="1023.7499999999999"/>
    <n v="0.35"/>
  </r>
  <r>
    <x v="0"/>
    <x v="0"/>
    <x v="16"/>
    <x v="4"/>
    <s v="South Carolina"/>
    <s v="Charleston"/>
    <x v="2"/>
    <n v="0.4"/>
    <n v="6250"/>
    <x v="54"/>
    <n v="1000"/>
    <n v="0.4"/>
  </r>
  <r>
    <x v="0"/>
    <x v="0"/>
    <x v="16"/>
    <x v="4"/>
    <s v="South Carolina"/>
    <s v="Charleston"/>
    <x v="3"/>
    <n v="0.4"/>
    <n v="5750"/>
    <x v="336"/>
    <n v="920"/>
    <n v="0.4"/>
  </r>
  <r>
    <x v="0"/>
    <x v="0"/>
    <x v="16"/>
    <x v="4"/>
    <s v="South Carolina"/>
    <s v="Charleston"/>
    <x v="4"/>
    <n v="0.49999999999999994"/>
    <n v="6000"/>
    <x v="591"/>
    <n v="1049.9999999999998"/>
    <n v="0.35"/>
  </r>
  <r>
    <x v="0"/>
    <x v="0"/>
    <x v="16"/>
    <x v="4"/>
    <s v="South Carolina"/>
    <s v="Charleston"/>
    <x v="5"/>
    <n v="0.54999999999999993"/>
    <n v="7000"/>
    <x v="265"/>
    <n v="1924.9999999999998"/>
    <n v="0.5"/>
  </r>
  <r>
    <x v="0"/>
    <x v="0"/>
    <x v="175"/>
    <x v="4"/>
    <s v="South Carolina"/>
    <s v="Charleston"/>
    <x v="0"/>
    <n v="0.49999999999999994"/>
    <n v="9500"/>
    <x v="592"/>
    <n v="1899.9999999999998"/>
    <n v="0.4"/>
  </r>
  <r>
    <x v="0"/>
    <x v="0"/>
    <x v="175"/>
    <x v="4"/>
    <s v="South Carolina"/>
    <s v="Charleston"/>
    <x v="1"/>
    <n v="0.45"/>
    <n v="7000"/>
    <x v="40"/>
    <n v="1102.5"/>
    <n v="0.35"/>
  </r>
  <r>
    <x v="0"/>
    <x v="0"/>
    <x v="175"/>
    <x v="4"/>
    <s v="South Carolina"/>
    <s v="Charleston"/>
    <x v="2"/>
    <n v="0.5"/>
    <n v="6750"/>
    <x v="73"/>
    <n v="1350"/>
    <n v="0.4"/>
  </r>
  <r>
    <x v="0"/>
    <x v="0"/>
    <x v="175"/>
    <x v="4"/>
    <s v="South Carolina"/>
    <s v="Charleston"/>
    <x v="3"/>
    <n v="0.5"/>
    <n v="6500"/>
    <x v="82"/>
    <n v="1300"/>
    <n v="0.4"/>
  </r>
  <r>
    <x v="0"/>
    <x v="0"/>
    <x v="175"/>
    <x v="4"/>
    <s v="South Carolina"/>
    <s v="Charleston"/>
    <x v="4"/>
    <n v="0.65"/>
    <n v="6500"/>
    <x v="106"/>
    <n v="1478.75"/>
    <n v="0.35"/>
  </r>
  <r>
    <x v="0"/>
    <x v="0"/>
    <x v="175"/>
    <x v="4"/>
    <s v="South Carolina"/>
    <s v="Charleston"/>
    <x v="5"/>
    <n v="0.70000000000000007"/>
    <n v="8250"/>
    <x v="299"/>
    <n v="2887.5000000000005"/>
    <n v="0.5"/>
  </r>
  <r>
    <x v="0"/>
    <x v="0"/>
    <x v="72"/>
    <x v="4"/>
    <s v="South Carolina"/>
    <s v="Charleston"/>
    <x v="0"/>
    <n v="0.65"/>
    <n v="10500"/>
    <x v="22"/>
    <n v="2730"/>
    <n v="0.4"/>
  </r>
  <r>
    <x v="0"/>
    <x v="0"/>
    <x v="72"/>
    <x v="4"/>
    <s v="South Carolina"/>
    <s v="Charleston"/>
    <x v="1"/>
    <n v="0.60000000000000009"/>
    <n v="8000"/>
    <x v="443"/>
    <n v="1680.0000000000002"/>
    <n v="0.35"/>
  </r>
  <r>
    <x v="0"/>
    <x v="0"/>
    <x v="72"/>
    <x v="4"/>
    <s v="South Carolina"/>
    <s v="Charleston"/>
    <x v="2"/>
    <n v="0.55000000000000004"/>
    <n v="7250"/>
    <x v="101"/>
    <n v="1595.0000000000002"/>
    <n v="0.4"/>
  </r>
  <r>
    <x v="0"/>
    <x v="0"/>
    <x v="72"/>
    <x v="4"/>
    <s v="South Carolina"/>
    <s v="Charleston"/>
    <x v="3"/>
    <n v="0.55000000000000004"/>
    <n v="6750"/>
    <x v="105"/>
    <n v="1485.0000000000002"/>
    <n v="0.4"/>
  </r>
  <r>
    <x v="0"/>
    <x v="0"/>
    <x v="72"/>
    <x v="4"/>
    <s v="South Carolina"/>
    <s v="Charleston"/>
    <x v="4"/>
    <n v="0.65"/>
    <n v="7000"/>
    <x v="109"/>
    <n v="1592.5"/>
    <n v="0.35"/>
  </r>
  <r>
    <x v="0"/>
    <x v="0"/>
    <x v="72"/>
    <x v="4"/>
    <s v="South Carolina"/>
    <s v="Charleston"/>
    <x v="5"/>
    <n v="0.70000000000000007"/>
    <n v="8750"/>
    <x v="593"/>
    <n v="3062.5000000000005"/>
    <n v="0.5"/>
  </r>
  <r>
    <x v="0"/>
    <x v="0"/>
    <x v="73"/>
    <x v="4"/>
    <s v="South Carolina"/>
    <s v="Charleston"/>
    <x v="0"/>
    <n v="0.65"/>
    <n v="10250"/>
    <x v="594"/>
    <n v="2665"/>
    <n v="0.4"/>
  </r>
  <r>
    <x v="0"/>
    <x v="0"/>
    <x v="73"/>
    <x v="4"/>
    <s v="South Carolina"/>
    <s v="Charleston"/>
    <x v="1"/>
    <n v="0.60000000000000009"/>
    <n v="8000"/>
    <x v="443"/>
    <n v="1680.0000000000002"/>
    <n v="0.35"/>
  </r>
  <r>
    <x v="0"/>
    <x v="0"/>
    <x v="73"/>
    <x v="4"/>
    <s v="South Carolina"/>
    <s v="Charleston"/>
    <x v="2"/>
    <n v="0.55000000000000004"/>
    <n v="7250"/>
    <x v="101"/>
    <n v="1595.0000000000002"/>
    <n v="0.4"/>
  </r>
  <r>
    <x v="0"/>
    <x v="0"/>
    <x v="73"/>
    <x v="4"/>
    <s v="South Carolina"/>
    <s v="Charleston"/>
    <x v="3"/>
    <n v="0.45"/>
    <n v="6750"/>
    <x v="112"/>
    <n v="1215"/>
    <n v="0.4"/>
  </r>
  <r>
    <x v="0"/>
    <x v="0"/>
    <x v="73"/>
    <x v="4"/>
    <s v="South Carolina"/>
    <s v="Charleston"/>
    <x v="4"/>
    <n v="0.55000000000000004"/>
    <n v="6500"/>
    <x v="465"/>
    <n v="1251.25"/>
    <n v="0.35"/>
  </r>
  <r>
    <x v="0"/>
    <x v="0"/>
    <x v="73"/>
    <x v="4"/>
    <s v="South Carolina"/>
    <s v="Charleston"/>
    <x v="5"/>
    <n v="0.60000000000000009"/>
    <n v="8250"/>
    <x v="301"/>
    <n v="2475.0000000000005"/>
    <n v="0.5"/>
  </r>
  <r>
    <x v="0"/>
    <x v="0"/>
    <x v="20"/>
    <x v="4"/>
    <s v="South Carolina"/>
    <s v="Charleston"/>
    <x v="0"/>
    <n v="0.55000000000000004"/>
    <n v="9250"/>
    <x v="16"/>
    <n v="2035"/>
    <n v="0.4"/>
  </r>
  <r>
    <x v="0"/>
    <x v="0"/>
    <x v="20"/>
    <x v="4"/>
    <s v="South Carolina"/>
    <s v="Charleston"/>
    <x v="1"/>
    <n v="0.50000000000000011"/>
    <n v="7250"/>
    <x v="303"/>
    <n v="1268.7500000000002"/>
    <n v="0.35"/>
  </r>
  <r>
    <x v="0"/>
    <x v="0"/>
    <x v="20"/>
    <x v="4"/>
    <s v="South Carolina"/>
    <s v="Charleston"/>
    <x v="2"/>
    <n v="0.30000000000000004"/>
    <n v="6250"/>
    <x v="528"/>
    <n v="750.00000000000011"/>
    <n v="0.4"/>
  </r>
  <r>
    <x v="0"/>
    <x v="0"/>
    <x v="20"/>
    <x v="4"/>
    <s v="South Carolina"/>
    <s v="Charleston"/>
    <x v="3"/>
    <n v="0.30000000000000004"/>
    <n v="6000"/>
    <x v="166"/>
    <n v="720.00000000000011"/>
    <n v="0.4"/>
  </r>
  <r>
    <x v="0"/>
    <x v="0"/>
    <x v="20"/>
    <x v="4"/>
    <s v="South Carolina"/>
    <s v="Charleston"/>
    <x v="4"/>
    <n v="0.4"/>
    <n v="6000"/>
    <x v="50"/>
    <n v="840"/>
    <n v="0.35"/>
  </r>
  <r>
    <x v="0"/>
    <x v="0"/>
    <x v="20"/>
    <x v="4"/>
    <s v="South Carolina"/>
    <s v="Charleston"/>
    <x v="5"/>
    <n v="0.45000000000000007"/>
    <n v="7000"/>
    <x v="254"/>
    <n v="1575.0000000000002"/>
    <n v="0.5"/>
  </r>
  <r>
    <x v="0"/>
    <x v="0"/>
    <x v="179"/>
    <x v="4"/>
    <s v="South Carolina"/>
    <s v="Charleston"/>
    <x v="0"/>
    <n v="0.45000000000000007"/>
    <n v="8750"/>
    <x v="567"/>
    <n v="1575.0000000000002"/>
    <n v="0.4"/>
  </r>
  <r>
    <x v="0"/>
    <x v="0"/>
    <x v="179"/>
    <x v="4"/>
    <s v="South Carolina"/>
    <s v="Charleston"/>
    <x v="1"/>
    <n v="0.35000000000000009"/>
    <n v="7000"/>
    <x v="196"/>
    <n v="857.50000000000011"/>
    <n v="0.35"/>
  </r>
  <r>
    <x v="0"/>
    <x v="0"/>
    <x v="179"/>
    <x v="4"/>
    <s v="South Carolina"/>
    <s v="Charleston"/>
    <x v="2"/>
    <n v="0.35000000000000009"/>
    <n v="5750"/>
    <x v="595"/>
    <n v="805.00000000000023"/>
    <n v="0.4"/>
  </r>
  <r>
    <x v="0"/>
    <x v="0"/>
    <x v="179"/>
    <x v="4"/>
    <s v="South Carolina"/>
    <s v="Charleston"/>
    <x v="3"/>
    <n v="0.35000000000000009"/>
    <n v="5500"/>
    <x v="596"/>
    <n v="770.00000000000023"/>
    <n v="0.4"/>
  </r>
  <r>
    <x v="0"/>
    <x v="0"/>
    <x v="179"/>
    <x v="4"/>
    <s v="South Carolina"/>
    <s v="Charleston"/>
    <x v="4"/>
    <n v="0.45000000000000007"/>
    <n v="5500"/>
    <x v="468"/>
    <n v="866.25000000000011"/>
    <n v="0.35"/>
  </r>
  <r>
    <x v="0"/>
    <x v="0"/>
    <x v="179"/>
    <x v="4"/>
    <s v="South Carolina"/>
    <s v="Charleston"/>
    <x v="5"/>
    <n v="0.5"/>
    <n v="6750"/>
    <x v="73"/>
    <n v="1687.5"/>
    <n v="0.5"/>
  </r>
  <r>
    <x v="0"/>
    <x v="0"/>
    <x v="76"/>
    <x v="4"/>
    <s v="South Carolina"/>
    <s v="Charleston"/>
    <x v="0"/>
    <n v="0.45000000000000007"/>
    <n v="8250"/>
    <x v="105"/>
    <n v="1485.0000000000002"/>
    <n v="0.4"/>
  </r>
  <r>
    <x v="0"/>
    <x v="0"/>
    <x v="76"/>
    <x v="4"/>
    <s v="South Carolina"/>
    <s v="Charleston"/>
    <x v="1"/>
    <n v="0.35000000000000009"/>
    <n v="6500"/>
    <x v="597"/>
    <n v="796.25000000000011"/>
    <n v="0.35"/>
  </r>
  <r>
    <x v="0"/>
    <x v="0"/>
    <x v="76"/>
    <x v="4"/>
    <s v="South Carolina"/>
    <s v="Charleston"/>
    <x v="2"/>
    <n v="0.40000000000000013"/>
    <n v="5950"/>
    <x v="598"/>
    <n v="952.00000000000045"/>
    <n v="0.4"/>
  </r>
  <r>
    <x v="0"/>
    <x v="0"/>
    <x v="76"/>
    <x v="4"/>
    <s v="South Carolina"/>
    <s v="Charleston"/>
    <x v="3"/>
    <n v="0.6000000000000002"/>
    <n v="6500"/>
    <x v="599"/>
    <n v="1560.0000000000007"/>
    <n v="0.4"/>
  </r>
  <r>
    <x v="0"/>
    <x v="0"/>
    <x v="76"/>
    <x v="4"/>
    <s v="South Carolina"/>
    <s v="Charleston"/>
    <x v="4"/>
    <n v="0.75000000000000011"/>
    <n v="6250"/>
    <x v="273"/>
    <n v="1640.6250000000002"/>
    <n v="0.35"/>
  </r>
  <r>
    <x v="0"/>
    <x v="0"/>
    <x v="76"/>
    <x v="4"/>
    <s v="South Carolina"/>
    <s v="Charleston"/>
    <x v="5"/>
    <n v="0.75"/>
    <n v="7250"/>
    <x v="600"/>
    <n v="2718.75"/>
    <n v="0.5"/>
  </r>
  <r>
    <x v="0"/>
    <x v="0"/>
    <x v="77"/>
    <x v="4"/>
    <s v="South Carolina"/>
    <s v="Charleston"/>
    <x v="0"/>
    <n v="0.70000000000000007"/>
    <n v="9750"/>
    <x v="297"/>
    <n v="2730.0000000000005"/>
    <n v="0.4"/>
  </r>
  <r>
    <x v="0"/>
    <x v="0"/>
    <x v="77"/>
    <x v="4"/>
    <s v="South Carolina"/>
    <s v="Charleston"/>
    <x v="1"/>
    <n v="0.60000000000000009"/>
    <n v="7750"/>
    <x v="458"/>
    <n v="1627.5000000000002"/>
    <n v="0.35"/>
  </r>
  <r>
    <x v="0"/>
    <x v="0"/>
    <x v="77"/>
    <x v="4"/>
    <s v="South Carolina"/>
    <s v="Charleston"/>
    <x v="2"/>
    <n v="0.60000000000000009"/>
    <n v="7250"/>
    <x v="454"/>
    <n v="1740.0000000000005"/>
    <n v="0.4"/>
  </r>
  <r>
    <x v="0"/>
    <x v="0"/>
    <x v="77"/>
    <x v="4"/>
    <s v="South Carolina"/>
    <s v="Charleston"/>
    <x v="3"/>
    <n v="0.60000000000000009"/>
    <n v="6750"/>
    <x v="229"/>
    <n v="1620.0000000000002"/>
    <n v="0.4"/>
  </r>
  <r>
    <x v="0"/>
    <x v="0"/>
    <x v="77"/>
    <x v="4"/>
    <s v="South Carolina"/>
    <s v="Charleston"/>
    <x v="4"/>
    <n v="0.70000000000000007"/>
    <n v="6750"/>
    <x v="176"/>
    <n v="1653.75"/>
    <n v="0.35"/>
  </r>
  <r>
    <x v="0"/>
    <x v="0"/>
    <x v="77"/>
    <x v="4"/>
    <s v="South Carolina"/>
    <s v="Charleston"/>
    <x v="5"/>
    <n v="0.75"/>
    <n v="7750"/>
    <x v="601"/>
    <n v="2906.25"/>
    <n v="0.5"/>
  </r>
  <r>
    <x v="0"/>
    <x v="0"/>
    <x v="90"/>
    <x v="4"/>
    <s v="North Carolina"/>
    <s v="Charlotte"/>
    <x v="0"/>
    <n v="0.35000000000000003"/>
    <n v="7750"/>
    <x v="289"/>
    <n v="1085.0000000000002"/>
    <n v="0.4"/>
  </r>
  <r>
    <x v="0"/>
    <x v="0"/>
    <x v="90"/>
    <x v="4"/>
    <s v="North Carolina"/>
    <s v="Charlotte"/>
    <x v="1"/>
    <n v="0.35000000000000003"/>
    <n v="5750"/>
    <x v="354"/>
    <n v="704.375"/>
    <n v="0.35"/>
  </r>
  <r>
    <x v="0"/>
    <x v="0"/>
    <x v="90"/>
    <x v="4"/>
    <s v="North Carolina"/>
    <s v="Charlotte"/>
    <x v="2"/>
    <n v="0.25000000000000006"/>
    <n v="5750"/>
    <x v="345"/>
    <n v="575.00000000000011"/>
    <n v="0.4"/>
  </r>
  <r>
    <x v="0"/>
    <x v="0"/>
    <x v="90"/>
    <x v="4"/>
    <s v="North Carolina"/>
    <s v="Charlotte"/>
    <x v="3"/>
    <n v="0.3"/>
    <n v="4250"/>
    <x v="233"/>
    <n v="510"/>
    <n v="0.4"/>
  </r>
  <r>
    <x v="0"/>
    <x v="0"/>
    <x v="90"/>
    <x v="4"/>
    <s v="North Carolina"/>
    <s v="Charlotte"/>
    <x v="4"/>
    <n v="0.45"/>
    <n v="4750"/>
    <x v="115"/>
    <n v="748.125"/>
    <n v="0.35"/>
  </r>
  <r>
    <x v="0"/>
    <x v="0"/>
    <x v="90"/>
    <x v="4"/>
    <s v="North Carolina"/>
    <s v="Charlotte"/>
    <x v="5"/>
    <n v="0.35000000000000003"/>
    <n v="5750"/>
    <x v="354"/>
    <n v="1006.2500000000001"/>
    <n v="0.5"/>
  </r>
  <r>
    <x v="0"/>
    <x v="0"/>
    <x v="119"/>
    <x v="4"/>
    <s v="North Carolina"/>
    <s v="Charlotte"/>
    <x v="0"/>
    <n v="0.35000000000000003"/>
    <n v="8250"/>
    <x v="170"/>
    <n v="1155.0000000000002"/>
    <n v="0.4"/>
  </r>
  <r>
    <x v="0"/>
    <x v="0"/>
    <x v="119"/>
    <x v="4"/>
    <s v="North Carolina"/>
    <s v="Charlotte"/>
    <x v="1"/>
    <n v="0.35000000000000003"/>
    <n v="4750"/>
    <x v="394"/>
    <n v="581.875"/>
    <n v="0.35"/>
  </r>
  <r>
    <x v="0"/>
    <x v="0"/>
    <x v="119"/>
    <x v="4"/>
    <s v="North Carolina"/>
    <s v="Charlotte"/>
    <x v="2"/>
    <n v="0.25000000000000006"/>
    <n v="5250"/>
    <x v="342"/>
    <n v="525.00000000000011"/>
    <n v="0.4"/>
  </r>
  <r>
    <x v="0"/>
    <x v="0"/>
    <x v="119"/>
    <x v="4"/>
    <s v="North Carolina"/>
    <s v="Charlotte"/>
    <x v="3"/>
    <n v="0.3"/>
    <n v="3750"/>
    <x v="127"/>
    <n v="450"/>
    <n v="0.4"/>
  </r>
  <r>
    <x v="0"/>
    <x v="0"/>
    <x v="119"/>
    <x v="4"/>
    <s v="North Carolina"/>
    <s v="Charlotte"/>
    <x v="4"/>
    <n v="0.45"/>
    <n v="4500"/>
    <x v="158"/>
    <n v="708.75"/>
    <n v="0.35"/>
  </r>
  <r>
    <x v="0"/>
    <x v="0"/>
    <x v="119"/>
    <x v="4"/>
    <s v="North Carolina"/>
    <s v="Charlotte"/>
    <x v="5"/>
    <n v="0.3"/>
    <n v="5500"/>
    <x v="240"/>
    <n v="825"/>
    <n v="0.5"/>
  </r>
  <r>
    <x v="0"/>
    <x v="0"/>
    <x v="137"/>
    <x v="4"/>
    <s v="North Carolina"/>
    <s v="Charlotte"/>
    <x v="0"/>
    <n v="0.3"/>
    <n v="7700"/>
    <x v="602"/>
    <n v="924"/>
    <n v="0.4"/>
  </r>
  <r>
    <x v="0"/>
    <x v="0"/>
    <x v="137"/>
    <x v="4"/>
    <s v="North Carolina"/>
    <s v="Charlotte"/>
    <x v="1"/>
    <n v="0.3"/>
    <n v="4500"/>
    <x v="198"/>
    <n v="472.49999999999994"/>
    <n v="0.35"/>
  </r>
  <r>
    <x v="0"/>
    <x v="0"/>
    <x v="137"/>
    <x v="4"/>
    <s v="North Carolina"/>
    <s v="Charlotte"/>
    <x v="2"/>
    <n v="0.2"/>
    <n v="4750"/>
    <x v="603"/>
    <n v="380"/>
    <n v="0.4"/>
  </r>
  <r>
    <x v="0"/>
    <x v="0"/>
    <x v="137"/>
    <x v="4"/>
    <s v="North Carolina"/>
    <s v="Charlotte"/>
    <x v="3"/>
    <n v="0.24999999999999994"/>
    <n v="3250"/>
    <x v="604"/>
    <n v="324.99999999999994"/>
    <n v="0.4"/>
  </r>
  <r>
    <x v="0"/>
    <x v="0"/>
    <x v="137"/>
    <x v="4"/>
    <s v="North Carolina"/>
    <s v="Charlotte"/>
    <x v="4"/>
    <n v="0.40000000000000008"/>
    <n v="3750"/>
    <x v="192"/>
    <n v="525"/>
    <n v="0.35"/>
  </r>
  <r>
    <x v="0"/>
    <x v="0"/>
    <x v="137"/>
    <x v="4"/>
    <s v="North Carolina"/>
    <s v="Charlotte"/>
    <x v="5"/>
    <n v="0.3"/>
    <n v="4750"/>
    <x v="341"/>
    <n v="712.5"/>
    <n v="0.5"/>
  </r>
  <r>
    <x v="0"/>
    <x v="0"/>
    <x v="138"/>
    <x v="4"/>
    <s v="North Carolina"/>
    <s v="Charlotte"/>
    <x v="0"/>
    <n v="0.3"/>
    <n v="7250"/>
    <x v="150"/>
    <n v="870"/>
    <n v="0.4"/>
  </r>
  <r>
    <x v="0"/>
    <x v="0"/>
    <x v="138"/>
    <x v="4"/>
    <s v="North Carolina"/>
    <s v="Charlotte"/>
    <x v="1"/>
    <n v="0.3"/>
    <n v="4250"/>
    <x v="233"/>
    <n v="446.25"/>
    <n v="0.35"/>
  </r>
  <r>
    <x v="0"/>
    <x v="0"/>
    <x v="138"/>
    <x v="4"/>
    <s v="North Carolina"/>
    <s v="Charlotte"/>
    <x v="2"/>
    <n v="0.2"/>
    <n v="4250"/>
    <x v="501"/>
    <n v="340"/>
    <n v="0.4"/>
  </r>
  <r>
    <x v="0"/>
    <x v="0"/>
    <x v="138"/>
    <x v="4"/>
    <s v="North Carolina"/>
    <s v="Charlotte"/>
    <x v="3"/>
    <n v="0.24999999999999994"/>
    <n v="3500"/>
    <x v="605"/>
    <n v="349.99999999999994"/>
    <n v="0.4"/>
  </r>
  <r>
    <x v="0"/>
    <x v="0"/>
    <x v="138"/>
    <x v="4"/>
    <s v="North Carolina"/>
    <s v="Charlotte"/>
    <x v="4"/>
    <n v="0.45"/>
    <n v="3750"/>
    <x v="153"/>
    <n v="590.625"/>
    <n v="0.35"/>
  </r>
  <r>
    <x v="0"/>
    <x v="0"/>
    <x v="138"/>
    <x v="4"/>
    <s v="North Carolina"/>
    <s v="Charlotte"/>
    <x v="5"/>
    <n v="0.35000000000000003"/>
    <n v="5250"/>
    <x v="450"/>
    <n v="918.75000000000011"/>
    <n v="0.5"/>
  </r>
  <r>
    <x v="0"/>
    <x v="0"/>
    <x v="213"/>
    <x v="4"/>
    <s v="North Carolina"/>
    <s v="Charlotte"/>
    <x v="0"/>
    <n v="0.45"/>
    <n v="7950"/>
    <x v="606"/>
    <n v="1431"/>
    <n v="0.4"/>
  </r>
  <r>
    <x v="0"/>
    <x v="0"/>
    <x v="213"/>
    <x v="4"/>
    <s v="North Carolina"/>
    <s v="Charlotte"/>
    <x v="1"/>
    <n v="0.45"/>
    <n v="5000"/>
    <x v="39"/>
    <n v="787.5"/>
    <n v="0.35"/>
  </r>
  <r>
    <x v="0"/>
    <x v="0"/>
    <x v="213"/>
    <x v="4"/>
    <s v="North Carolina"/>
    <s v="Charlotte"/>
    <x v="2"/>
    <n v="0.4"/>
    <n v="4750"/>
    <x v="235"/>
    <n v="760"/>
    <n v="0.4"/>
  </r>
  <r>
    <x v="0"/>
    <x v="0"/>
    <x v="213"/>
    <x v="4"/>
    <s v="North Carolina"/>
    <s v="Charlotte"/>
    <x v="3"/>
    <n v="0.4"/>
    <n v="4250"/>
    <x v="234"/>
    <n v="680"/>
    <n v="0.4"/>
  </r>
  <r>
    <x v="0"/>
    <x v="0"/>
    <x v="213"/>
    <x v="4"/>
    <s v="North Carolina"/>
    <s v="Charlotte"/>
    <x v="4"/>
    <n v="0.49999999999999994"/>
    <n v="4500"/>
    <x v="381"/>
    <n v="787.49999999999977"/>
    <n v="0.35"/>
  </r>
  <r>
    <x v="0"/>
    <x v="0"/>
    <x v="213"/>
    <x v="4"/>
    <s v="North Carolina"/>
    <s v="Charlotte"/>
    <x v="5"/>
    <n v="0.54999999999999993"/>
    <n v="5500"/>
    <x v="404"/>
    <n v="1512.4999999999998"/>
    <n v="0.5"/>
  </r>
  <r>
    <x v="0"/>
    <x v="0"/>
    <x v="121"/>
    <x v="4"/>
    <s v="North Carolina"/>
    <s v="Charlotte"/>
    <x v="0"/>
    <n v="0.49999999999999994"/>
    <n v="8000"/>
    <x v="607"/>
    <n v="1600"/>
    <n v="0.4"/>
  </r>
  <r>
    <x v="0"/>
    <x v="0"/>
    <x v="121"/>
    <x v="4"/>
    <s v="North Carolina"/>
    <s v="Charlotte"/>
    <x v="1"/>
    <n v="0.45"/>
    <n v="5500"/>
    <x v="111"/>
    <n v="866.25"/>
    <n v="0.35"/>
  </r>
  <r>
    <x v="0"/>
    <x v="0"/>
    <x v="121"/>
    <x v="4"/>
    <s v="North Carolina"/>
    <s v="Charlotte"/>
    <x v="2"/>
    <n v="0.5"/>
    <n v="5250"/>
    <x v="48"/>
    <n v="1050"/>
    <n v="0.4"/>
  </r>
  <r>
    <x v="0"/>
    <x v="0"/>
    <x v="121"/>
    <x v="4"/>
    <s v="North Carolina"/>
    <s v="Charlotte"/>
    <x v="3"/>
    <n v="0.5"/>
    <n v="5000"/>
    <x v="54"/>
    <n v="1000"/>
    <n v="0.4"/>
  </r>
  <r>
    <x v="0"/>
    <x v="0"/>
    <x v="121"/>
    <x v="4"/>
    <s v="North Carolina"/>
    <s v="Charlotte"/>
    <x v="4"/>
    <n v="0.65"/>
    <n v="5000"/>
    <x v="82"/>
    <n v="1137.5"/>
    <n v="0.35"/>
  </r>
  <r>
    <x v="0"/>
    <x v="0"/>
    <x v="121"/>
    <x v="4"/>
    <s v="North Carolina"/>
    <s v="Charlotte"/>
    <x v="5"/>
    <n v="0.70000000000000007"/>
    <n v="6750"/>
    <x v="176"/>
    <n v="2362.5"/>
    <n v="0.5"/>
  </r>
  <r>
    <x v="0"/>
    <x v="0"/>
    <x v="140"/>
    <x v="4"/>
    <s v="North Carolina"/>
    <s v="Charlotte"/>
    <x v="0"/>
    <n v="0.65"/>
    <n v="9000"/>
    <x v="38"/>
    <n v="2340"/>
    <n v="0.4"/>
  </r>
  <r>
    <x v="0"/>
    <x v="0"/>
    <x v="140"/>
    <x v="4"/>
    <s v="North Carolina"/>
    <s v="Charlotte"/>
    <x v="1"/>
    <n v="0.60000000000000009"/>
    <n v="6500"/>
    <x v="608"/>
    <n v="1365"/>
    <n v="0.35"/>
  </r>
  <r>
    <x v="0"/>
    <x v="0"/>
    <x v="140"/>
    <x v="4"/>
    <s v="North Carolina"/>
    <s v="Charlotte"/>
    <x v="2"/>
    <n v="0.55000000000000004"/>
    <n v="5750"/>
    <x v="76"/>
    <n v="1265.0000000000002"/>
    <n v="0.4"/>
  </r>
  <r>
    <x v="0"/>
    <x v="0"/>
    <x v="140"/>
    <x v="4"/>
    <s v="North Carolina"/>
    <s v="Charlotte"/>
    <x v="3"/>
    <n v="0.55000000000000004"/>
    <n v="5250"/>
    <x v="170"/>
    <n v="1155.0000000000002"/>
    <n v="0.4"/>
  </r>
  <r>
    <x v="0"/>
    <x v="0"/>
    <x v="140"/>
    <x v="4"/>
    <s v="North Carolina"/>
    <s v="Charlotte"/>
    <x v="4"/>
    <n v="0.65"/>
    <n v="5500"/>
    <x v="88"/>
    <n v="1251.25"/>
    <n v="0.35"/>
  </r>
  <r>
    <x v="0"/>
    <x v="0"/>
    <x v="140"/>
    <x v="4"/>
    <s v="North Carolina"/>
    <s v="Charlotte"/>
    <x v="5"/>
    <n v="0.70000000000000007"/>
    <n v="7250"/>
    <x v="246"/>
    <n v="2537.5000000000005"/>
    <n v="0.5"/>
  </r>
  <r>
    <x v="0"/>
    <x v="0"/>
    <x v="141"/>
    <x v="4"/>
    <s v="North Carolina"/>
    <s v="Charlotte"/>
    <x v="0"/>
    <n v="0.65"/>
    <n v="8750"/>
    <x v="31"/>
    <n v="2275"/>
    <n v="0.4"/>
  </r>
  <r>
    <x v="0"/>
    <x v="0"/>
    <x v="141"/>
    <x v="4"/>
    <s v="North Carolina"/>
    <s v="Charlotte"/>
    <x v="1"/>
    <n v="0.60000000000000009"/>
    <n v="6500"/>
    <x v="608"/>
    <n v="1365"/>
    <n v="0.35"/>
  </r>
  <r>
    <x v="0"/>
    <x v="0"/>
    <x v="141"/>
    <x v="4"/>
    <s v="North Carolina"/>
    <s v="Charlotte"/>
    <x v="2"/>
    <n v="0.55000000000000004"/>
    <n v="5750"/>
    <x v="76"/>
    <n v="1265.0000000000002"/>
    <n v="0.4"/>
  </r>
  <r>
    <x v="0"/>
    <x v="0"/>
    <x v="141"/>
    <x v="4"/>
    <s v="North Carolina"/>
    <s v="Charlotte"/>
    <x v="3"/>
    <n v="0.45"/>
    <n v="5250"/>
    <x v="45"/>
    <n v="945"/>
    <n v="0.4"/>
  </r>
  <r>
    <x v="0"/>
    <x v="0"/>
    <x v="141"/>
    <x v="4"/>
    <s v="North Carolina"/>
    <s v="Charlotte"/>
    <x v="4"/>
    <n v="0.55000000000000004"/>
    <n v="5000"/>
    <x v="80"/>
    <n v="962.49999999999989"/>
    <n v="0.35"/>
  </r>
  <r>
    <x v="0"/>
    <x v="0"/>
    <x v="141"/>
    <x v="4"/>
    <s v="North Carolina"/>
    <s v="Charlotte"/>
    <x v="5"/>
    <n v="0.60000000000000009"/>
    <n v="6750"/>
    <x v="229"/>
    <n v="2025.0000000000002"/>
    <n v="0.5"/>
  </r>
  <r>
    <x v="0"/>
    <x v="0"/>
    <x v="214"/>
    <x v="4"/>
    <s v="North Carolina"/>
    <s v="Charlotte"/>
    <x v="0"/>
    <n v="0.55000000000000004"/>
    <n v="7750"/>
    <x v="100"/>
    <n v="1705"/>
    <n v="0.4"/>
  </r>
  <r>
    <x v="0"/>
    <x v="0"/>
    <x v="214"/>
    <x v="4"/>
    <s v="North Carolina"/>
    <s v="Charlotte"/>
    <x v="1"/>
    <n v="0.50000000000000011"/>
    <n v="5750"/>
    <x v="460"/>
    <n v="1006.2500000000001"/>
    <n v="0.35"/>
  </r>
  <r>
    <x v="0"/>
    <x v="0"/>
    <x v="214"/>
    <x v="4"/>
    <s v="North Carolina"/>
    <s v="Charlotte"/>
    <x v="2"/>
    <n v="0.25000000000000006"/>
    <n v="4750"/>
    <x v="535"/>
    <n v="475.00000000000011"/>
    <n v="0.4"/>
  </r>
  <r>
    <x v="0"/>
    <x v="0"/>
    <x v="214"/>
    <x v="4"/>
    <s v="North Carolina"/>
    <s v="Charlotte"/>
    <x v="3"/>
    <n v="0.25000000000000006"/>
    <n v="4500"/>
    <x v="133"/>
    <n v="450.00000000000011"/>
    <n v="0.4"/>
  </r>
  <r>
    <x v="0"/>
    <x v="0"/>
    <x v="214"/>
    <x v="4"/>
    <s v="North Carolina"/>
    <s v="Charlotte"/>
    <x v="4"/>
    <n v="0.35000000000000003"/>
    <n v="4500"/>
    <x v="160"/>
    <n v="551.25"/>
    <n v="0.35"/>
  </r>
  <r>
    <x v="0"/>
    <x v="0"/>
    <x v="214"/>
    <x v="4"/>
    <s v="North Carolina"/>
    <s v="Charlotte"/>
    <x v="5"/>
    <n v="0.40000000000000008"/>
    <n v="5500"/>
    <x v="609"/>
    <n v="1100.0000000000002"/>
    <n v="0.5"/>
  </r>
  <r>
    <x v="0"/>
    <x v="0"/>
    <x v="123"/>
    <x v="4"/>
    <s v="North Carolina"/>
    <s v="Charlotte"/>
    <x v="0"/>
    <n v="0.40000000000000008"/>
    <n v="7250"/>
    <x v="610"/>
    <n v="1160.0000000000002"/>
    <n v="0.4"/>
  </r>
  <r>
    <x v="0"/>
    <x v="0"/>
    <x v="123"/>
    <x v="4"/>
    <s v="North Carolina"/>
    <s v="Charlotte"/>
    <x v="1"/>
    <n v="0.3000000000000001"/>
    <n v="5500"/>
    <x v="534"/>
    <n v="577.50000000000011"/>
    <n v="0.35"/>
  </r>
  <r>
    <x v="0"/>
    <x v="0"/>
    <x v="123"/>
    <x v="4"/>
    <s v="North Carolina"/>
    <s v="Charlotte"/>
    <x v="2"/>
    <n v="0.3000000000000001"/>
    <n v="4250"/>
    <x v="611"/>
    <n v="510.00000000000023"/>
    <n v="0.4"/>
  </r>
  <r>
    <x v="0"/>
    <x v="0"/>
    <x v="123"/>
    <x v="4"/>
    <s v="North Carolina"/>
    <s v="Charlotte"/>
    <x v="3"/>
    <n v="0.3000000000000001"/>
    <n v="4000"/>
    <x v="513"/>
    <n v="480.00000000000023"/>
    <n v="0.4"/>
  </r>
  <r>
    <x v="0"/>
    <x v="0"/>
    <x v="123"/>
    <x v="4"/>
    <s v="North Carolina"/>
    <s v="Charlotte"/>
    <x v="4"/>
    <n v="0.40000000000000008"/>
    <n v="4000"/>
    <x v="612"/>
    <n v="560"/>
    <n v="0.35"/>
  </r>
  <r>
    <x v="0"/>
    <x v="0"/>
    <x v="123"/>
    <x v="4"/>
    <s v="North Carolina"/>
    <s v="Charlotte"/>
    <x v="5"/>
    <n v="0.4"/>
    <n v="5250"/>
    <x v="193"/>
    <n v="1050"/>
    <n v="0.5"/>
  </r>
  <r>
    <x v="0"/>
    <x v="0"/>
    <x v="143"/>
    <x v="4"/>
    <s v="North Carolina"/>
    <s v="Charlotte"/>
    <x v="0"/>
    <n v="0.35000000000000009"/>
    <n v="6750"/>
    <x v="464"/>
    <n v="945.00000000000023"/>
    <n v="0.4"/>
  </r>
  <r>
    <x v="0"/>
    <x v="0"/>
    <x v="143"/>
    <x v="4"/>
    <s v="North Carolina"/>
    <s v="Charlotte"/>
    <x v="1"/>
    <n v="0.25000000000000011"/>
    <n v="5000"/>
    <x v="613"/>
    <n v="437.50000000000011"/>
    <n v="0.35"/>
  </r>
  <r>
    <x v="0"/>
    <x v="0"/>
    <x v="143"/>
    <x v="4"/>
    <s v="North Carolina"/>
    <s v="Charlotte"/>
    <x v="2"/>
    <n v="0.35000000000000014"/>
    <n v="4450"/>
    <x v="614"/>
    <n v="623.00000000000034"/>
    <n v="0.4"/>
  </r>
  <r>
    <x v="0"/>
    <x v="0"/>
    <x v="143"/>
    <x v="4"/>
    <s v="North Carolina"/>
    <s v="Charlotte"/>
    <x v="3"/>
    <n v="0.65000000000000024"/>
    <n v="5000"/>
    <x v="615"/>
    <n v="1300.0000000000007"/>
    <n v="0.4"/>
  </r>
  <r>
    <x v="0"/>
    <x v="0"/>
    <x v="143"/>
    <x v="4"/>
    <s v="North Carolina"/>
    <s v="Charlotte"/>
    <x v="4"/>
    <n v="0.80000000000000016"/>
    <n v="4750"/>
    <x v="485"/>
    <n v="1330.0000000000002"/>
    <n v="0.35"/>
  </r>
  <r>
    <x v="0"/>
    <x v="0"/>
    <x v="143"/>
    <x v="4"/>
    <s v="North Carolina"/>
    <s v="Charlotte"/>
    <x v="5"/>
    <n v="0.8"/>
    <n v="5750"/>
    <x v="616"/>
    <n v="2300"/>
    <n v="0.5"/>
  </r>
  <r>
    <x v="0"/>
    <x v="0"/>
    <x v="144"/>
    <x v="4"/>
    <s v="North Carolina"/>
    <s v="Charlotte"/>
    <x v="0"/>
    <n v="0.75000000000000011"/>
    <n v="8250"/>
    <x v="617"/>
    <n v="2475.0000000000005"/>
    <n v="0.4"/>
  </r>
  <r>
    <x v="0"/>
    <x v="0"/>
    <x v="144"/>
    <x v="4"/>
    <s v="North Carolina"/>
    <s v="Charlotte"/>
    <x v="1"/>
    <n v="0.65000000000000013"/>
    <n v="6250"/>
    <x v="280"/>
    <n v="1421.8750000000002"/>
    <n v="0.35"/>
  </r>
  <r>
    <x v="0"/>
    <x v="0"/>
    <x v="144"/>
    <x v="4"/>
    <s v="North Carolina"/>
    <s v="Charlotte"/>
    <x v="2"/>
    <n v="0.65000000000000013"/>
    <n v="5750"/>
    <x v="226"/>
    <n v="1495.0000000000005"/>
    <n v="0.4"/>
  </r>
  <r>
    <x v="0"/>
    <x v="0"/>
    <x v="144"/>
    <x v="4"/>
    <s v="North Carolina"/>
    <s v="Charlotte"/>
    <x v="3"/>
    <n v="0.65000000000000013"/>
    <n v="5250"/>
    <x v="618"/>
    <n v="1365.0000000000005"/>
    <n v="0.4"/>
  </r>
  <r>
    <x v="0"/>
    <x v="0"/>
    <x v="144"/>
    <x v="4"/>
    <s v="North Carolina"/>
    <s v="Charlotte"/>
    <x v="4"/>
    <n v="0.75000000000000011"/>
    <n v="5250"/>
    <x v="567"/>
    <n v="1378.125"/>
    <n v="0.35"/>
  </r>
  <r>
    <x v="0"/>
    <x v="0"/>
    <x v="144"/>
    <x v="4"/>
    <s v="North Carolina"/>
    <s v="Charlotte"/>
    <x v="5"/>
    <n v="0.8"/>
    <n v="6250"/>
    <x v="1"/>
    <n v="2500"/>
    <n v="0.5"/>
  </r>
  <r>
    <x v="0"/>
    <x v="0"/>
    <x v="215"/>
    <x v="3"/>
    <s v="Ohio"/>
    <s v="Columbus"/>
    <x v="0"/>
    <n v="0.4"/>
    <n v="5000"/>
    <x v="47"/>
    <n v="800"/>
    <n v="0.4"/>
  </r>
  <r>
    <x v="0"/>
    <x v="0"/>
    <x v="215"/>
    <x v="3"/>
    <s v="Ohio"/>
    <s v="Columbus"/>
    <x v="1"/>
    <n v="0.4"/>
    <n v="3000"/>
    <x v="147"/>
    <n v="420"/>
    <n v="0.35"/>
  </r>
  <r>
    <x v="0"/>
    <x v="0"/>
    <x v="215"/>
    <x v="3"/>
    <s v="Ohio"/>
    <s v="Columbus"/>
    <x v="2"/>
    <n v="0.30000000000000004"/>
    <n v="3000"/>
    <x v="395"/>
    <n v="360.00000000000006"/>
    <n v="0.4"/>
  </r>
  <r>
    <x v="0"/>
    <x v="0"/>
    <x v="215"/>
    <x v="3"/>
    <s v="Ohio"/>
    <s v="Columbus"/>
    <x v="3"/>
    <n v="0.35000000000000003"/>
    <n v="1500"/>
    <x v="311"/>
    <n v="210"/>
    <n v="0.4"/>
  </r>
  <r>
    <x v="0"/>
    <x v="0"/>
    <x v="215"/>
    <x v="3"/>
    <s v="Ohio"/>
    <s v="Columbus"/>
    <x v="4"/>
    <n v="0.49999999999999994"/>
    <n v="2000"/>
    <x v="619"/>
    <n v="349.99999999999994"/>
    <n v="0.35"/>
  </r>
  <r>
    <x v="0"/>
    <x v="0"/>
    <x v="215"/>
    <x v="3"/>
    <s v="Ohio"/>
    <s v="Columbus"/>
    <x v="5"/>
    <n v="0.4"/>
    <n v="3000"/>
    <x v="147"/>
    <n v="480"/>
    <n v="0.4"/>
  </r>
  <r>
    <x v="0"/>
    <x v="0"/>
    <x v="216"/>
    <x v="3"/>
    <s v="Ohio"/>
    <s v="Columbus"/>
    <x v="0"/>
    <n v="0.4"/>
    <n v="5500"/>
    <x v="42"/>
    <n v="880"/>
    <n v="0.4"/>
  </r>
  <r>
    <x v="0"/>
    <x v="0"/>
    <x v="216"/>
    <x v="3"/>
    <s v="Ohio"/>
    <s v="Columbus"/>
    <x v="1"/>
    <n v="0.4"/>
    <n v="2000"/>
    <x v="134"/>
    <n v="280"/>
    <n v="0.35"/>
  </r>
  <r>
    <x v="0"/>
    <x v="0"/>
    <x v="216"/>
    <x v="3"/>
    <s v="Ohio"/>
    <s v="Columbus"/>
    <x v="2"/>
    <n v="0.30000000000000004"/>
    <n v="2500"/>
    <x v="398"/>
    <n v="300.00000000000006"/>
    <n v="0.4"/>
  </r>
  <r>
    <x v="0"/>
    <x v="0"/>
    <x v="216"/>
    <x v="3"/>
    <s v="Ohio"/>
    <s v="Columbus"/>
    <x v="3"/>
    <n v="0.35000000000000003"/>
    <n v="1250"/>
    <x v="620"/>
    <n v="175.00000000000003"/>
    <n v="0.4"/>
  </r>
  <r>
    <x v="0"/>
    <x v="0"/>
    <x v="216"/>
    <x v="3"/>
    <s v="Ohio"/>
    <s v="Columbus"/>
    <x v="4"/>
    <n v="0.49999999999999994"/>
    <n v="2000"/>
    <x v="619"/>
    <n v="349.99999999999994"/>
    <n v="0.35"/>
  </r>
  <r>
    <x v="0"/>
    <x v="0"/>
    <x v="216"/>
    <x v="3"/>
    <s v="Ohio"/>
    <s v="Columbus"/>
    <x v="5"/>
    <n v="0.4"/>
    <n v="3000"/>
    <x v="147"/>
    <n v="480"/>
    <n v="0.4"/>
  </r>
  <r>
    <x v="0"/>
    <x v="0"/>
    <x v="217"/>
    <x v="3"/>
    <s v="Ohio"/>
    <s v="Columbus"/>
    <x v="0"/>
    <n v="0.45"/>
    <n v="5200"/>
    <x v="621"/>
    <n v="936"/>
    <n v="0.4"/>
  </r>
  <r>
    <x v="0"/>
    <x v="0"/>
    <x v="217"/>
    <x v="3"/>
    <s v="Ohio"/>
    <s v="Columbus"/>
    <x v="1"/>
    <n v="0.45"/>
    <n v="2250"/>
    <x v="177"/>
    <n v="354.375"/>
    <n v="0.35"/>
  </r>
  <r>
    <x v="0"/>
    <x v="0"/>
    <x v="217"/>
    <x v="3"/>
    <s v="Ohio"/>
    <s v="Columbus"/>
    <x v="2"/>
    <n v="0.35000000000000003"/>
    <n v="2500"/>
    <x v="622"/>
    <n v="350.00000000000006"/>
    <n v="0.4"/>
  </r>
  <r>
    <x v="0"/>
    <x v="0"/>
    <x v="217"/>
    <x v="3"/>
    <s v="Ohio"/>
    <s v="Columbus"/>
    <x v="3"/>
    <n v="0.4"/>
    <n v="1000"/>
    <x v="122"/>
    <n v="160"/>
    <n v="0.4"/>
  </r>
  <r>
    <x v="0"/>
    <x v="0"/>
    <x v="217"/>
    <x v="3"/>
    <s v="Ohio"/>
    <s v="Columbus"/>
    <x v="4"/>
    <n v="0.54999999999999993"/>
    <n v="1500"/>
    <x v="370"/>
    <n v="288.74999999999994"/>
    <n v="0.35"/>
  </r>
  <r>
    <x v="0"/>
    <x v="0"/>
    <x v="217"/>
    <x v="3"/>
    <s v="Ohio"/>
    <s v="Columbus"/>
    <x v="5"/>
    <n v="0.45"/>
    <n v="2500"/>
    <x v="127"/>
    <n v="450"/>
    <n v="0.4"/>
  </r>
  <r>
    <x v="0"/>
    <x v="0"/>
    <x v="218"/>
    <x v="3"/>
    <s v="Ohio"/>
    <s v="Columbus"/>
    <x v="0"/>
    <n v="0.45"/>
    <n v="4750"/>
    <x v="115"/>
    <n v="855"/>
    <n v="0.4"/>
  </r>
  <r>
    <x v="0"/>
    <x v="0"/>
    <x v="218"/>
    <x v="3"/>
    <s v="Ohio"/>
    <s v="Columbus"/>
    <x v="1"/>
    <n v="0.45"/>
    <n v="1750"/>
    <x v="120"/>
    <n v="275.625"/>
    <n v="0.35"/>
  </r>
  <r>
    <x v="0"/>
    <x v="0"/>
    <x v="218"/>
    <x v="3"/>
    <s v="Ohio"/>
    <s v="Columbus"/>
    <x v="2"/>
    <n v="0.4"/>
    <n v="1750"/>
    <x v="135"/>
    <n v="280"/>
    <n v="0.4"/>
  </r>
  <r>
    <x v="0"/>
    <x v="0"/>
    <x v="218"/>
    <x v="3"/>
    <s v="Ohio"/>
    <s v="Columbus"/>
    <x v="3"/>
    <n v="0.45"/>
    <n v="1000"/>
    <x v="185"/>
    <n v="180"/>
    <n v="0.4"/>
  </r>
  <r>
    <x v="0"/>
    <x v="0"/>
    <x v="218"/>
    <x v="3"/>
    <s v="Ohio"/>
    <s v="Columbus"/>
    <x v="4"/>
    <n v="0.5"/>
    <n v="1250"/>
    <x v="143"/>
    <n v="218.75"/>
    <n v="0.35"/>
  </r>
  <r>
    <x v="0"/>
    <x v="0"/>
    <x v="218"/>
    <x v="3"/>
    <s v="Ohio"/>
    <s v="Columbus"/>
    <x v="5"/>
    <n v="0.4"/>
    <n v="2500"/>
    <x v="123"/>
    <n v="400"/>
    <n v="0.4"/>
  </r>
  <r>
    <x v="0"/>
    <x v="0"/>
    <x v="219"/>
    <x v="3"/>
    <s v="Ohio"/>
    <s v="Columbus"/>
    <x v="0"/>
    <n v="0.5"/>
    <n v="5200"/>
    <x v="51"/>
    <n v="1040"/>
    <n v="0.4"/>
  </r>
  <r>
    <x v="0"/>
    <x v="0"/>
    <x v="219"/>
    <x v="3"/>
    <s v="Ohio"/>
    <s v="Columbus"/>
    <x v="1"/>
    <n v="0.45000000000000007"/>
    <n v="2250"/>
    <x v="471"/>
    <n v="354.375"/>
    <n v="0.35"/>
  </r>
  <r>
    <x v="0"/>
    <x v="0"/>
    <x v="219"/>
    <x v="3"/>
    <s v="Ohio"/>
    <s v="Columbus"/>
    <x v="2"/>
    <n v="0.4"/>
    <n v="2000"/>
    <x v="134"/>
    <n v="320"/>
    <n v="0.4"/>
  </r>
  <r>
    <x v="0"/>
    <x v="0"/>
    <x v="219"/>
    <x v="3"/>
    <s v="Ohio"/>
    <s v="Columbus"/>
    <x v="3"/>
    <n v="0.4"/>
    <n v="1250"/>
    <x v="118"/>
    <n v="200"/>
    <n v="0.4"/>
  </r>
  <r>
    <x v="0"/>
    <x v="0"/>
    <x v="219"/>
    <x v="3"/>
    <s v="Ohio"/>
    <s v="Columbus"/>
    <x v="4"/>
    <n v="0.5"/>
    <n v="1500"/>
    <x v="126"/>
    <n v="262.5"/>
    <n v="0.35"/>
  </r>
  <r>
    <x v="0"/>
    <x v="0"/>
    <x v="219"/>
    <x v="3"/>
    <s v="Ohio"/>
    <s v="Columbus"/>
    <x v="5"/>
    <n v="0.55000000000000004"/>
    <n v="2750"/>
    <x v="408"/>
    <n v="605.00000000000011"/>
    <n v="0.4"/>
  </r>
  <r>
    <x v="0"/>
    <x v="0"/>
    <x v="220"/>
    <x v="3"/>
    <s v="Ohio"/>
    <s v="Columbus"/>
    <x v="0"/>
    <n v="0.4"/>
    <n v="5250"/>
    <x v="193"/>
    <n v="840"/>
    <n v="0.4"/>
  </r>
  <r>
    <x v="0"/>
    <x v="0"/>
    <x v="220"/>
    <x v="3"/>
    <s v="Ohio"/>
    <s v="Columbus"/>
    <x v="1"/>
    <n v="0.35000000000000009"/>
    <n v="2750"/>
    <x v="623"/>
    <n v="336.87500000000006"/>
    <n v="0.35"/>
  </r>
  <r>
    <x v="0"/>
    <x v="0"/>
    <x v="220"/>
    <x v="3"/>
    <s v="Ohio"/>
    <s v="Columbus"/>
    <x v="2"/>
    <n v="0.30000000000000004"/>
    <n v="2250"/>
    <x v="318"/>
    <n v="270.00000000000006"/>
    <n v="0.4"/>
  </r>
  <r>
    <x v="0"/>
    <x v="0"/>
    <x v="220"/>
    <x v="3"/>
    <s v="Ohio"/>
    <s v="Columbus"/>
    <x v="3"/>
    <n v="0.30000000000000004"/>
    <n v="2000"/>
    <x v="399"/>
    <n v="240.00000000000006"/>
    <n v="0.4"/>
  </r>
  <r>
    <x v="0"/>
    <x v="0"/>
    <x v="220"/>
    <x v="3"/>
    <s v="Ohio"/>
    <s v="Columbus"/>
    <x v="4"/>
    <n v="0.5"/>
    <n v="2000"/>
    <x v="123"/>
    <n v="350"/>
    <n v="0.35"/>
  </r>
  <r>
    <x v="0"/>
    <x v="0"/>
    <x v="220"/>
    <x v="3"/>
    <s v="Ohio"/>
    <s v="Columbus"/>
    <x v="5"/>
    <n v="0.55000000000000004"/>
    <n v="3750"/>
    <x v="138"/>
    <n v="825"/>
    <n v="0.4"/>
  </r>
  <r>
    <x v="0"/>
    <x v="0"/>
    <x v="221"/>
    <x v="3"/>
    <s v="Ohio"/>
    <s v="Columbus"/>
    <x v="0"/>
    <n v="0.5"/>
    <n v="6000"/>
    <x v="61"/>
    <n v="1200"/>
    <n v="0.4"/>
  </r>
  <r>
    <x v="0"/>
    <x v="0"/>
    <x v="221"/>
    <x v="3"/>
    <s v="Ohio"/>
    <s v="Columbus"/>
    <x v="1"/>
    <n v="0.45000000000000007"/>
    <n v="3500"/>
    <x v="160"/>
    <n v="551.25"/>
    <n v="0.35"/>
  </r>
  <r>
    <x v="0"/>
    <x v="0"/>
    <x v="221"/>
    <x v="3"/>
    <s v="Ohio"/>
    <s v="Columbus"/>
    <x v="2"/>
    <n v="0.4"/>
    <n v="2750"/>
    <x v="130"/>
    <n v="440"/>
    <n v="0.4"/>
  </r>
  <r>
    <x v="0"/>
    <x v="0"/>
    <x v="221"/>
    <x v="3"/>
    <s v="Ohio"/>
    <s v="Columbus"/>
    <x v="3"/>
    <n v="0.4"/>
    <n v="2250"/>
    <x v="124"/>
    <n v="360"/>
    <n v="0.4"/>
  </r>
  <r>
    <x v="0"/>
    <x v="0"/>
    <x v="221"/>
    <x v="3"/>
    <s v="Ohio"/>
    <s v="Columbus"/>
    <x v="4"/>
    <n v="0.5"/>
    <n v="2500"/>
    <x v="142"/>
    <n v="437.5"/>
    <n v="0.35"/>
  </r>
  <r>
    <x v="0"/>
    <x v="0"/>
    <x v="221"/>
    <x v="3"/>
    <s v="Ohio"/>
    <s v="Columbus"/>
    <x v="5"/>
    <n v="0.55000000000000004"/>
    <n v="4250"/>
    <x v="256"/>
    <n v="935"/>
    <n v="0.4"/>
  </r>
  <r>
    <x v="0"/>
    <x v="0"/>
    <x v="222"/>
    <x v="3"/>
    <s v="Ohio"/>
    <s v="Columbus"/>
    <x v="0"/>
    <n v="0.5"/>
    <n v="5750"/>
    <x v="79"/>
    <n v="1150"/>
    <n v="0.4"/>
  </r>
  <r>
    <x v="0"/>
    <x v="0"/>
    <x v="222"/>
    <x v="3"/>
    <s v="Ohio"/>
    <s v="Columbus"/>
    <x v="1"/>
    <n v="0.45000000000000007"/>
    <n v="3500"/>
    <x v="160"/>
    <n v="551.25"/>
    <n v="0.35"/>
  </r>
  <r>
    <x v="0"/>
    <x v="0"/>
    <x v="222"/>
    <x v="3"/>
    <s v="Ohio"/>
    <s v="Columbus"/>
    <x v="2"/>
    <n v="0.4"/>
    <n v="2750"/>
    <x v="130"/>
    <n v="440"/>
    <n v="0.4"/>
  </r>
  <r>
    <x v="0"/>
    <x v="0"/>
    <x v="222"/>
    <x v="3"/>
    <s v="Ohio"/>
    <s v="Columbus"/>
    <x v="3"/>
    <n v="0.4"/>
    <n v="2500"/>
    <x v="123"/>
    <n v="400"/>
    <n v="0.4"/>
  </r>
  <r>
    <x v="0"/>
    <x v="0"/>
    <x v="222"/>
    <x v="3"/>
    <s v="Ohio"/>
    <s v="Columbus"/>
    <x v="4"/>
    <n v="0.5"/>
    <n v="2250"/>
    <x v="127"/>
    <n v="393.75"/>
    <n v="0.35"/>
  </r>
  <r>
    <x v="0"/>
    <x v="0"/>
    <x v="222"/>
    <x v="3"/>
    <s v="Ohio"/>
    <s v="Columbus"/>
    <x v="5"/>
    <n v="0.55000000000000004"/>
    <n v="4000"/>
    <x v="42"/>
    <n v="880"/>
    <n v="0.4"/>
  </r>
  <r>
    <x v="0"/>
    <x v="0"/>
    <x v="223"/>
    <x v="3"/>
    <s v="Ohio"/>
    <s v="Columbus"/>
    <x v="0"/>
    <n v="0.5"/>
    <n v="5250"/>
    <x v="48"/>
    <n v="1050"/>
    <n v="0.4"/>
  </r>
  <r>
    <x v="0"/>
    <x v="0"/>
    <x v="223"/>
    <x v="3"/>
    <s v="Ohio"/>
    <s v="Columbus"/>
    <x v="1"/>
    <n v="0.45000000000000007"/>
    <n v="3250"/>
    <x v="137"/>
    <n v="511.87500000000006"/>
    <n v="0.35"/>
  </r>
  <r>
    <x v="0"/>
    <x v="0"/>
    <x v="223"/>
    <x v="3"/>
    <s v="Ohio"/>
    <s v="Columbus"/>
    <x v="2"/>
    <n v="0.35000000000000003"/>
    <n v="2250"/>
    <x v="121"/>
    <n v="315.00000000000006"/>
    <n v="0.4"/>
  </r>
  <r>
    <x v="0"/>
    <x v="0"/>
    <x v="223"/>
    <x v="3"/>
    <s v="Ohio"/>
    <s v="Columbus"/>
    <x v="3"/>
    <n v="0.35000000000000003"/>
    <n v="2000"/>
    <x v="320"/>
    <n v="280.00000000000006"/>
    <n v="0.4"/>
  </r>
  <r>
    <x v="0"/>
    <x v="0"/>
    <x v="223"/>
    <x v="3"/>
    <s v="Ohio"/>
    <s v="Columbus"/>
    <x v="4"/>
    <n v="0.45"/>
    <n v="2000"/>
    <x v="124"/>
    <n v="315"/>
    <n v="0.35"/>
  </r>
  <r>
    <x v="0"/>
    <x v="0"/>
    <x v="223"/>
    <x v="3"/>
    <s v="Ohio"/>
    <s v="Columbus"/>
    <x v="5"/>
    <n v="0.5"/>
    <n v="2750"/>
    <x v="140"/>
    <n v="550"/>
    <n v="0.4"/>
  </r>
  <r>
    <x v="0"/>
    <x v="0"/>
    <x v="224"/>
    <x v="3"/>
    <s v="Ohio"/>
    <s v="Columbus"/>
    <x v="0"/>
    <n v="0.54999999999999993"/>
    <n v="4500"/>
    <x v="357"/>
    <n v="989.99999999999989"/>
    <n v="0.4"/>
  </r>
  <r>
    <x v="0"/>
    <x v="0"/>
    <x v="224"/>
    <x v="3"/>
    <s v="Ohio"/>
    <s v="Columbus"/>
    <x v="1"/>
    <n v="0.45"/>
    <n v="2750"/>
    <x v="116"/>
    <n v="433.125"/>
    <n v="0.35"/>
  </r>
  <r>
    <x v="0"/>
    <x v="0"/>
    <x v="224"/>
    <x v="3"/>
    <s v="Ohio"/>
    <s v="Columbus"/>
    <x v="2"/>
    <n v="0.45"/>
    <n v="1750"/>
    <x v="120"/>
    <n v="315"/>
    <n v="0.4"/>
  </r>
  <r>
    <x v="0"/>
    <x v="0"/>
    <x v="224"/>
    <x v="3"/>
    <s v="Ohio"/>
    <s v="Columbus"/>
    <x v="3"/>
    <n v="0.45"/>
    <n v="1500"/>
    <x v="321"/>
    <n v="270"/>
    <n v="0.4"/>
  </r>
  <r>
    <x v="0"/>
    <x v="0"/>
    <x v="224"/>
    <x v="3"/>
    <s v="Ohio"/>
    <s v="Columbus"/>
    <x v="4"/>
    <n v="0.54999999999999993"/>
    <n v="1500"/>
    <x v="370"/>
    <n v="288.74999999999994"/>
    <n v="0.35"/>
  </r>
  <r>
    <x v="0"/>
    <x v="0"/>
    <x v="224"/>
    <x v="3"/>
    <s v="Ohio"/>
    <s v="Columbus"/>
    <x v="5"/>
    <n v="0.54999999999999993"/>
    <n v="2750"/>
    <x v="409"/>
    <n v="604.99999999999989"/>
    <n v="0.4"/>
  </r>
  <r>
    <x v="0"/>
    <x v="0"/>
    <x v="225"/>
    <x v="3"/>
    <s v="Ohio"/>
    <s v="Columbus"/>
    <x v="0"/>
    <n v="0.5"/>
    <n v="4250"/>
    <x v="43"/>
    <n v="850"/>
    <n v="0.4"/>
  </r>
  <r>
    <x v="0"/>
    <x v="0"/>
    <x v="225"/>
    <x v="3"/>
    <s v="Ohio"/>
    <s v="Columbus"/>
    <x v="1"/>
    <n v="0.4"/>
    <n v="2750"/>
    <x v="130"/>
    <n v="385"/>
    <n v="0.35"/>
  </r>
  <r>
    <x v="0"/>
    <x v="0"/>
    <x v="225"/>
    <x v="3"/>
    <s v="Ohio"/>
    <s v="Columbus"/>
    <x v="2"/>
    <n v="0.45"/>
    <n v="2200"/>
    <x v="624"/>
    <n v="396"/>
    <n v="0.4"/>
  </r>
  <r>
    <x v="0"/>
    <x v="0"/>
    <x v="225"/>
    <x v="3"/>
    <s v="Ohio"/>
    <s v="Columbus"/>
    <x v="3"/>
    <n v="0.55000000000000004"/>
    <n v="2000"/>
    <x v="130"/>
    <n v="440"/>
    <n v="0.4"/>
  </r>
  <r>
    <x v="0"/>
    <x v="0"/>
    <x v="225"/>
    <x v="3"/>
    <s v="Ohio"/>
    <s v="Columbus"/>
    <x v="4"/>
    <n v="0.65"/>
    <n v="1750"/>
    <x v="165"/>
    <n v="398.125"/>
    <n v="0.35"/>
  </r>
  <r>
    <x v="0"/>
    <x v="0"/>
    <x v="225"/>
    <x v="3"/>
    <s v="Ohio"/>
    <s v="Columbus"/>
    <x v="5"/>
    <n v="0.7"/>
    <n v="2750"/>
    <x v="237"/>
    <n v="770"/>
    <n v="0.4"/>
  </r>
  <r>
    <x v="0"/>
    <x v="0"/>
    <x v="226"/>
    <x v="3"/>
    <s v="Ohio"/>
    <s v="Columbus"/>
    <x v="0"/>
    <n v="0.65"/>
    <n v="5250"/>
    <x v="85"/>
    <n v="1365"/>
    <n v="0.4"/>
  </r>
  <r>
    <x v="0"/>
    <x v="0"/>
    <x v="226"/>
    <x v="3"/>
    <s v="Ohio"/>
    <s v="Columbus"/>
    <x v="1"/>
    <n v="0.55000000000000004"/>
    <n v="3250"/>
    <x v="255"/>
    <n v="625.625"/>
    <n v="0.35"/>
  </r>
  <r>
    <x v="0"/>
    <x v="0"/>
    <x v="226"/>
    <x v="3"/>
    <s v="Ohio"/>
    <s v="Columbus"/>
    <x v="2"/>
    <n v="0.55000000000000004"/>
    <n v="2750"/>
    <x v="408"/>
    <n v="605.00000000000011"/>
    <n v="0.4"/>
  </r>
  <r>
    <x v="0"/>
    <x v="0"/>
    <x v="226"/>
    <x v="3"/>
    <s v="Ohio"/>
    <s v="Columbus"/>
    <x v="3"/>
    <n v="0.5"/>
    <n v="2250"/>
    <x v="127"/>
    <n v="450"/>
    <n v="0.4"/>
  </r>
  <r>
    <x v="0"/>
    <x v="0"/>
    <x v="226"/>
    <x v="3"/>
    <s v="Ohio"/>
    <s v="Columbus"/>
    <x v="4"/>
    <n v="0.6"/>
    <n v="2250"/>
    <x v="198"/>
    <n v="472.49999999999994"/>
    <n v="0.35"/>
  </r>
  <r>
    <x v="0"/>
    <x v="0"/>
    <x v="226"/>
    <x v="3"/>
    <s v="Ohio"/>
    <s v="Columbus"/>
    <x v="5"/>
    <n v="0.64999999999999991"/>
    <n v="3250"/>
    <x v="262"/>
    <n v="844.99999999999989"/>
    <n v="0.4"/>
  </r>
  <r>
    <x v="0"/>
    <x v="0"/>
    <x v="24"/>
    <x v="4"/>
    <s v="Kentucky"/>
    <s v="Louisville"/>
    <x v="0"/>
    <n v="0.30000000000000004"/>
    <n v="7250"/>
    <x v="553"/>
    <n v="870.00000000000023"/>
    <n v="0.4"/>
  </r>
  <r>
    <x v="0"/>
    <x v="0"/>
    <x v="24"/>
    <x v="4"/>
    <s v="Kentucky"/>
    <s v="Louisville"/>
    <x v="1"/>
    <n v="0.30000000000000004"/>
    <n v="5250"/>
    <x v="160"/>
    <n v="551.25"/>
    <n v="0.35"/>
  </r>
  <r>
    <x v="0"/>
    <x v="0"/>
    <x v="24"/>
    <x v="4"/>
    <s v="Kentucky"/>
    <s v="Louisville"/>
    <x v="2"/>
    <n v="0.20000000000000007"/>
    <n v="5250"/>
    <x v="509"/>
    <n v="420.00000000000023"/>
    <n v="0.4"/>
  </r>
  <r>
    <x v="0"/>
    <x v="0"/>
    <x v="24"/>
    <x v="4"/>
    <s v="Kentucky"/>
    <s v="Louisville"/>
    <x v="3"/>
    <n v="0.25"/>
    <n v="3750"/>
    <x v="523"/>
    <n v="375"/>
    <n v="0.4"/>
  </r>
  <r>
    <x v="0"/>
    <x v="0"/>
    <x v="24"/>
    <x v="4"/>
    <s v="Kentucky"/>
    <s v="Louisville"/>
    <x v="4"/>
    <n v="0.4"/>
    <n v="4250"/>
    <x v="234"/>
    <n v="595"/>
    <n v="0.35"/>
  </r>
  <r>
    <x v="0"/>
    <x v="0"/>
    <x v="24"/>
    <x v="4"/>
    <s v="Kentucky"/>
    <s v="Louisville"/>
    <x v="5"/>
    <n v="0.30000000000000004"/>
    <n v="5250"/>
    <x v="160"/>
    <n v="787.50000000000011"/>
    <n v="0.5"/>
  </r>
  <r>
    <x v="0"/>
    <x v="0"/>
    <x v="167"/>
    <x v="4"/>
    <s v="Kentucky"/>
    <s v="Louisville"/>
    <x v="0"/>
    <n v="0.30000000000000004"/>
    <n v="7750"/>
    <x v="168"/>
    <n v="930.00000000000023"/>
    <n v="0.4"/>
  </r>
  <r>
    <x v="0"/>
    <x v="0"/>
    <x v="167"/>
    <x v="4"/>
    <s v="Kentucky"/>
    <s v="Louisville"/>
    <x v="1"/>
    <n v="0.30000000000000004"/>
    <n v="4250"/>
    <x v="164"/>
    <n v="446.25000000000006"/>
    <n v="0.35"/>
  </r>
  <r>
    <x v="0"/>
    <x v="0"/>
    <x v="167"/>
    <x v="4"/>
    <s v="Kentucky"/>
    <s v="Louisville"/>
    <x v="2"/>
    <n v="0.20000000000000007"/>
    <n v="4750"/>
    <x v="625"/>
    <n v="380.00000000000017"/>
    <n v="0.4"/>
  </r>
  <r>
    <x v="0"/>
    <x v="0"/>
    <x v="167"/>
    <x v="4"/>
    <s v="Kentucky"/>
    <s v="Louisville"/>
    <x v="3"/>
    <n v="0.25"/>
    <n v="3250"/>
    <x v="190"/>
    <n v="325"/>
    <n v="0.4"/>
  </r>
  <r>
    <x v="0"/>
    <x v="0"/>
    <x v="167"/>
    <x v="4"/>
    <s v="Kentucky"/>
    <s v="Louisville"/>
    <x v="4"/>
    <n v="0.4"/>
    <n v="4000"/>
    <x v="173"/>
    <n v="560"/>
    <n v="0.35"/>
  </r>
  <r>
    <x v="0"/>
    <x v="0"/>
    <x v="167"/>
    <x v="4"/>
    <s v="Kentucky"/>
    <s v="Louisville"/>
    <x v="5"/>
    <n v="0.25"/>
    <n v="5000"/>
    <x v="142"/>
    <n v="625"/>
    <n v="0.5"/>
  </r>
  <r>
    <x v="0"/>
    <x v="0"/>
    <x v="104"/>
    <x v="4"/>
    <s v="Kentucky"/>
    <s v="Louisville"/>
    <x v="0"/>
    <n v="0.25"/>
    <n v="7200"/>
    <x v="207"/>
    <n v="720"/>
    <n v="0.4"/>
  </r>
  <r>
    <x v="0"/>
    <x v="0"/>
    <x v="104"/>
    <x v="4"/>
    <s v="Kentucky"/>
    <s v="Louisville"/>
    <x v="1"/>
    <n v="0.25"/>
    <n v="4000"/>
    <x v="123"/>
    <n v="350"/>
    <n v="0.35"/>
  </r>
  <r>
    <x v="0"/>
    <x v="0"/>
    <x v="104"/>
    <x v="4"/>
    <s v="Kentucky"/>
    <s v="Louisville"/>
    <x v="2"/>
    <n v="0.15000000000000002"/>
    <n v="4250"/>
    <x v="524"/>
    <n v="255.00000000000006"/>
    <n v="0.4"/>
  </r>
  <r>
    <x v="0"/>
    <x v="0"/>
    <x v="104"/>
    <x v="4"/>
    <s v="Kentucky"/>
    <s v="Louisville"/>
    <x v="3"/>
    <n v="0.19999999999999996"/>
    <n v="2750"/>
    <x v="626"/>
    <n v="219.99999999999997"/>
    <n v="0.4"/>
  </r>
  <r>
    <x v="0"/>
    <x v="0"/>
    <x v="104"/>
    <x v="4"/>
    <s v="Kentucky"/>
    <s v="Louisville"/>
    <x v="4"/>
    <n v="0.35000000000000009"/>
    <n v="3250"/>
    <x v="507"/>
    <n v="398.12500000000006"/>
    <n v="0.35"/>
  </r>
  <r>
    <x v="0"/>
    <x v="0"/>
    <x v="104"/>
    <x v="4"/>
    <s v="Kentucky"/>
    <s v="Louisville"/>
    <x v="5"/>
    <n v="0.25"/>
    <n v="4250"/>
    <x v="627"/>
    <n v="531.25"/>
    <n v="0.5"/>
  </r>
  <r>
    <x v="0"/>
    <x v="0"/>
    <x v="105"/>
    <x v="4"/>
    <s v="Kentucky"/>
    <s v="Louisville"/>
    <x v="0"/>
    <n v="0.25"/>
    <n v="6750"/>
    <x v="153"/>
    <n v="675"/>
    <n v="0.4"/>
  </r>
  <r>
    <x v="0"/>
    <x v="0"/>
    <x v="105"/>
    <x v="4"/>
    <s v="Kentucky"/>
    <s v="Louisville"/>
    <x v="1"/>
    <n v="0.25"/>
    <n v="3750"/>
    <x v="523"/>
    <n v="328.125"/>
    <n v="0.35"/>
  </r>
  <r>
    <x v="0"/>
    <x v="0"/>
    <x v="105"/>
    <x v="4"/>
    <s v="Kentucky"/>
    <s v="Louisville"/>
    <x v="2"/>
    <n v="0.15000000000000002"/>
    <n v="3750"/>
    <x v="469"/>
    <n v="225.00000000000006"/>
    <n v="0.4"/>
  </r>
  <r>
    <x v="0"/>
    <x v="0"/>
    <x v="105"/>
    <x v="4"/>
    <s v="Kentucky"/>
    <s v="Louisville"/>
    <x v="3"/>
    <n v="0.19999999999999996"/>
    <n v="3000"/>
    <x v="628"/>
    <n v="239.99999999999997"/>
    <n v="0.4"/>
  </r>
  <r>
    <x v="0"/>
    <x v="0"/>
    <x v="105"/>
    <x v="4"/>
    <s v="Kentucky"/>
    <s v="Louisville"/>
    <x v="4"/>
    <n v="0.4"/>
    <n v="3250"/>
    <x v="194"/>
    <n v="454.99999999999994"/>
    <n v="0.35"/>
  </r>
  <r>
    <x v="0"/>
    <x v="0"/>
    <x v="105"/>
    <x v="4"/>
    <s v="Kentucky"/>
    <s v="Louisville"/>
    <x v="5"/>
    <n v="0.30000000000000004"/>
    <n v="4750"/>
    <x v="629"/>
    <n v="712.50000000000011"/>
    <n v="0.5"/>
  </r>
  <r>
    <x v="0"/>
    <x v="0"/>
    <x v="40"/>
    <x v="4"/>
    <s v="Kentucky"/>
    <s v="Louisville"/>
    <x v="0"/>
    <n v="0.4"/>
    <n v="7450"/>
    <x v="630"/>
    <n v="1192"/>
    <n v="0.4"/>
  </r>
  <r>
    <x v="0"/>
    <x v="0"/>
    <x v="40"/>
    <x v="4"/>
    <s v="Kentucky"/>
    <s v="Louisville"/>
    <x v="1"/>
    <n v="0.4"/>
    <n v="4500"/>
    <x v="207"/>
    <n v="630"/>
    <n v="0.35"/>
  </r>
  <r>
    <x v="0"/>
    <x v="0"/>
    <x v="40"/>
    <x v="4"/>
    <s v="Kentucky"/>
    <s v="Louisville"/>
    <x v="2"/>
    <n v="0.35000000000000003"/>
    <n v="4250"/>
    <x v="343"/>
    <n v="595.00000000000011"/>
    <n v="0.4"/>
  </r>
  <r>
    <x v="0"/>
    <x v="0"/>
    <x v="40"/>
    <x v="4"/>
    <s v="Kentucky"/>
    <s v="Louisville"/>
    <x v="3"/>
    <n v="0.35000000000000003"/>
    <n v="3750"/>
    <x v="342"/>
    <n v="525.00000000000011"/>
    <n v="0.4"/>
  </r>
  <r>
    <x v="0"/>
    <x v="0"/>
    <x v="40"/>
    <x v="4"/>
    <s v="Kentucky"/>
    <s v="Louisville"/>
    <x v="4"/>
    <n v="0.44999999999999996"/>
    <n v="4000"/>
    <x v="451"/>
    <n v="629.99999999999989"/>
    <n v="0.35"/>
  </r>
  <r>
    <x v="0"/>
    <x v="0"/>
    <x v="40"/>
    <x v="4"/>
    <s v="Kentucky"/>
    <s v="Louisville"/>
    <x v="5"/>
    <n v="0.49999999999999994"/>
    <n v="5000"/>
    <x v="631"/>
    <n v="1249.9999999999998"/>
    <n v="0.5"/>
  </r>
  <r>
    <x v="0"/>
    <x v="0"/>
    <x v="169"/>
    <x v="4"/>
    <s v="Kentucky"/>
    <s v="Louisville"/>
    <x v="0"/>
    <n v="0.44999999999999996"/>
    <n v="7500"/>
    <x v="632"/>
    <n v="1350"/>
    <n v="0.4"/>
  </r>
  <r>
    <x v="0"/>
    <x v="0"/>
    <x v="169"/>
    <x v="4"/>
    <s v="Kentucky"/>
    <s v="Louisville"/>
    <x v="1"/>
    <n v="0.4"/>
    <n v="5000"/>
    <x v="47"/>
    <n v="700"/>
    <n v="0.35"/>
  </r>
  <r>
    <x v="0"/>
    <x v="0"/>
    <x v="169"/>
    <x v="4"/>
    <s v="Kentucky"/>
    <s v="Louisville"/>
    <x v="2"/>
    <n v="0.45"/>
    <n v="4750"/>
    <x v="115"/>
    <n v="855"/>
    <n v="0.4"/>
  </r>
  <r>
    <x v="0"/>
    <x v="0"/>
    <x v="169"/>
    <x v="4"/>
    <s v="Kentucky"/>
    <s v="Louisville"/>
    <x v="3"/>
    <n v="0.45"/>
    <n v="4500"/>
    <x v="158"/>
    <n v="810"/>
    <n v="0.4"/>
  </r>
  <r>
    <x v="0"/>
    <x v="0"/>
    <x v="169"/>
    <x v="4"/>
    <s v="Kentucky"/>
    <s v="Louisville"/>
    <x v="4"/>
    <n v="0.6"/>
    <n v="4500"/>
    <x v="52"/>
    <n v="944.99999999999989"/>
    <n v="0.35"/>
  </r>
  <r>
    <x v="0"/>
    <x v="0"/>
    <x v="169"/>
    <x v="4"/>
    <s v="Kentucky"/>
    <s v="Louisville"/>
    <x v="5"/>
    <n v="0.65"/>
    <n v="6250"/>
    <x v="113"/>
    <n v="2031.25"/>
    <n v="0.5"/>
  </r>
  <r>
    <x v="0"/>
    <x v="0"/>
    <x v="108"/>
    <x v="4"/>
    <s v="Kentucky"/>
    <s v="Louisville"/>
    <x v="0"/>
    <n v="0.6"/>
    <n v="8500"/>
    <x v="12"/>
    <n v="2040"/>
    <n v="0.4"/>
  </r>
  <r>
    <x v="0"/>
    <x v="0"/>
    <x v="108"/>
    <x v="4"/>
    <s v="Kentucky"/>
    <s v="Louisville"/>
    <x v="1"/>
    <n v="0.55000000000000004"/>
    <n v="6000"/>
    <x v="221"/>
    <n v="1155"/>
    <n v="0.35"/>
  </r>
  <r>
    <x v="0"/>
    <x v="0"/>
    <x v="108"/>
    <x v="4"/>
    <s v="Kentucky"/>
    <s v="Louisville"/>
    <x v="2"/>
    <n v="0.5"/>
    <n v="5250"/>
    <x v="48"/>
    <n v="1050"/>
    <n v="0.4"/>
  </r>
  <r>
    <x v="0"/>
    <x v="0"/>
    <x v="108"/>
    <x v="4"/>
    <s v="Kentucky"/>
    <s v="Louisville"/>
    <x v="3"/>
    <n v="0.5"/>
    <n v="4750"/>
    <x v="351"/>
    <n v="950"/>
    <n v="0.4"/>
  </r>
  <r>
    <x v="0"/>
    <x v="0"/>
    <x v="108"/>
    <x v="4"/>
    <s v="Kentucky"/>
    <s v="Louisville"/>
    <x v="4"/>
    <n v="0.6"/>
    <n v="5000"/>
    <x v="61"/>
    <n v="1050"/>
    <n v="0.35"/>
  </r>
  <r>
    <x v="0"/>
    <x v="0"/>
    <x v="108"/>
    <x v="4"/>
    <s v="Kentucky"/>
    <s v="Louisville"/>
    <x v="5"/>
    <n v="0.65"/>
    <n v="6750"/>
    <x v="83"/>
    <n v="2193.75"/>
    <n v="0.5"/>
  </r>
  <r>
    <x v="0"/>
    <x v="0"/>
    <x v="109"/>
    <x v="4"/>
    <s v="Kentucky"/>
    <s v="Louisville"/>
    <x v="0"/>
    <n v="0.6"/>
    <n v="8250"/>
    <x v="14"/>
    <n v="1980"/>
    <n v="0.4"/>
  </r>
  <r>
    <x v="0"/>
    <x v="0"/>
    <x v="109"/>
    <x v="4"/>
    <s v="Kentucky"/>
    <s v="Louisville"/>
    <x v="1"/>
    <n v="0.55000000000000004"/>
    <n v="6000"/>
    <x v="221"/>
    <n v="1155"/>
    <n v="0.35"/>
  </r>
  <r>
    <x v="0"/>
    <x v="0"/>
    <x v="109"/>
    <x v="4"/>
    <s v="Kentucky"/>
    <s v="Louisville"/>
    <x v="2"/>
    <n v="0.5"/>
    <n v="5250"/>
    <x v="48"/>
    <n v="1050"/>
    <n v="0.4"/>
  </r>
  <r>
    <x v="0"/>
    <x v="0"/>
    <x v="109"/>
    <x v="4"/>
    <s v="Kentucky"/>
    <s v="Louisville"/>
    <x v="3"/>
    <n v="0.4"/>
    <n v="4750"/>
    <x v="235"/>
    <n v="760"/>
    <n v="0.4"/>
  </r>
  <r>
    <x v="0"/>
    <x v="0"/>
    <x v="109"/>
    <x v="4"/>
    <s v="Kentucky"/>
    <s v="Louisville"/>
    <x v="4"/>
    <n v="0.5"/>
    <n v="4500"/>
    <x v="39"/>
    <n v="787.5"/>
    <n v="0.35"/>
  </r>
  <r>
    <x v="0"/>
    <x v="0"/>
    <x v="109"/>
    <x v="4"/>
    <s v="Kentucky"/>
    <s v="Louisville"/>
    <x v="5"/>
    <n v="0.55000000000000004"/>
    <n v="6250"/>
    <x v="337"/>
    <n v="1718.7500000000002"/>
    <n v="0.5"/>
  </r>
  <r>
    <x v="0"/>
    <x v="0"/>
    <x v="44"/>
    <x v="4"/>
    <s v="Kentucky"/>
    <s v="Louisville"/>
    <x v="0"/>
    <n v="0.5"/>
    <n v="7250"/>
    <x v="78"/>
    <n v="1450"/>
    <n v="0.4"/>
  </r>
  <r>
    <x v="0"/>
    <x v="0"/>
    <x v="44"/>
    <x v="4"/>
    <s v="Kentucky"/>
    <s v="Louisville"/>
    <x v="1"/>
    <n v="0.45000000000000012"/>
    <n v="5250"/>
    <x v="464"/>
    <n v="826.87500000000011"/>
    <n v="0.35"/>
  </r>
  <r>
    <x v="0"/>
    <x v="0"/>
    <x v="44"/>
    <x v="4"/>
    <s v="Kentucky"/>
    <s v="Louisville"/>
    <x v="2"/>
    <n v="0.20000000000000007"/>
    <n v="4250"/>
    <x v="533"/>
    <n v="340.00000000000011"/>
    <n v="0.4"/>
  </r>
  <r>
    <x v="0"/>
    <x v="0"/>
    <x v="44"/>
    <x v="4"/>
    <s v="Kentucky"/>
    <s v="Louisville"/>
    <x v="3"/>
    <n v="0.20000000000000007"/>
    <n v="4000"/>
    <x v="527"/>
    <n v="320.00000000000011"/>
    <n v="0.4"/>
  </r>
  <r>
    <x v="0"/>
    <x v="0"/>
    <x v="44"/>
    <x v="4"/>
    <s v="Kentucky"/>
    <s v="Louisville"/>
    <x v="4"/>
    <n v="0.30000000000000004"/>
    <n v="4000"/>
    <x v="200"/>
    <n v="420.00000000000006"/>
    <n v="0.35"/>
  </r>
  <r>
    <x v="0"/>
    <x v="0"/>
    <x v="44"/>
    <x v="4"/>
    <s v="Kentucky"/>
    <s v="Louisville"/>
    <x v="5"/>
    <n v="0.35000000000000009"/>
    <n v="5000"/>
    <x v="482"/>
    <n v="875.00000000000023"/>
    <n v="0.5"/>
  </r>
  <r>
    <x v="0"/>
    <x v="0"/>
    <x v="171"/>
    <x v="4"/>
    <s v="Kentucky"/>
    <s v="Louisville"/>
    <x v="0"/>
    <n v="0.35000000000000009"/>
    <n v="6750"/>
    <x v="464"/>
    <n v="945.00000000000023"/>
    <n v="0.4"/>
  </r>
  <r>
    <x v="0"/>
    <x v="0"/>
    <x v="171"/>
    <x v="4"/>
    <s v="Kentucky"/>
    <s v="Louisville"/>
    <x v="1"/>
    <n v="0.25000000000000011"/>
    <n v="5000"/>
    <x v="613"/>
    <n v="437.50000000000011"/>
    <n v="0.35"/>
  </r>
  <r>
    <x v="0"/>
    <x v="0"/>
    <x v="171"/>
    <x v="4"/>
    <s v="Kentucky"/>
    <s v="Louisville"/>
    <x v="2"/>
    <n v="0.25000000000000011"/>
    <n v="3750"/>
    <x v="633"/>
    <n v="375.00000000000023"/>
    <n v="0.4"/>
  </r>
  <r>
    <x v="0"/>
    <x v="0"/>
    <x v="171"/>
    <x v="4"/>
    <s v="Kentucky"/>
    <s v="Louisville"/>
    <x v="3"/>
    <n v="0.25000000000000011"/>
    <n v="3500"/>
    <x v="634"/>
    <n v="350.00000000000017"/>
    <n v="0.4"/>
  </r>
  <r>
    <x v="0"/>
    <x v="0"/>
    <x v="171"/>
    <x v="4"/>
    <s v="Kentucky"/>
    <s v="Louisville"/>
    <x v="4"/>
    <n v="0.35000000000000009"/>
    <n v="3500"/>
    <x v="206"/>
    <n v="428.75000000000006"/>
    <n v="0.35"/>
  </r>
  <r>
    <x v="0"/>
    <x v="0"/>
    <x v="171"/>
    <x v="4"/>
    <s v="Kentucky"/>
    <s v="Louisville"/>
    <x v="5"/>
    <n v="0.35000000000000003"/>
    <n v="4750"/>
    <x v="394"/>
    <n v="831.25000000000011"/>
    <n v="0.5"/>
  </r>
  <r>
    <x v="0"/>
    <x v="0"/>
    <x v="112"/>
    <x v="4"/>
    <s v="Kentucky"/>
    <s v="Louisville"/>
    <x v="0"/>
    <n v="0.3000000000000001"/>
    <n v="6250"/>
    <x v="635"/>
    <n v="750.00000000000034"/>
    <n v="0.4"/>
  </r>
  <r>
    <x v="0"/>
    <x v="0"/>
    <x v="112"/>
    <x v="4"/>
    <s v="Kentucky"/>
    <s v="Louisville"/>
    <x v="1"/>
    <n v="0.20000000000000012"/>
    <n v="4500"/>
    <x v="636"/>
    <n v="315.00000000000017"/>
    <n v="0.35"/>
  </r>
  <r>
    <x v="0"/>
    <x v="0"/>
    <x v="112"/>
    <x v="4"/>
    <s v="Kentucky"/>
    <s v="Louisville"/>
    <x v="2"/>
    <n v="0.30000000000000016"/>
    <n v="3950"/>
    <x v="637"/>
    <n v="474.00000000000028"/>
    <n v="0.4"/>
  </r>
  <r>
    <x v="0"/>
    <x v="0"/>
    <x v="112"/>
    <x v="4"/>
    <s v="Kentucky"/>
    <s v="Louisville"/>
    <x v="3"/>
    <n v="0.6000000000000002"/>
    <n v="4500"/>
    <x v="568"/>
    <n v="1080.0000000000005"/>
    <n v="0.4"/>
  </r>
  <r>
    <x v="0"/>
    <x v="0"/>
    <x v="112"/>
    <x v="4"/>
    <s v="Kentucky"/>
    <s v="Louisville"/>
    <x v="4"/>
    <n v="0.75000000000000011"/>
    <n v="4250"/>
    <x v="260"/>
    <n v="1115.625"/>
    <n v="0.35"/>
  </r>
  <r>
    <x v="0"/>
    <x v="0"/>
    <x v="112"/>
    <x v="4"/>
    <s v="Kentucky"/>
    <s v="Louisville"/>
    <x v="5"/>
    <n v="0.75"/>
    <n v="5250"/>
    <x v="638"/>
    <n v="1968.75"/>
    <n v="0.5"/>
  </r>
  <r>
    <x v="0"/>
    <x v="0"/>
    <x v="113"/>
    <x v="4"/>
    <s v="Kentucky"/>
    <s v="Louisville"/>
    <x v="0"/>
    <n v="0.70000000000000007"/>
    <n v="7750"/>
    <x v="102"/>
    <n v="2170.0000000000005"/>
    <n v="0.4"/>
  </r>
  <r>
    <x v="0"/>
    <x v="0"/>
    <x v="113"/>
    <x v="4"/>
    <s v="Kentucky"/>
    <s v="Louisville"/>
    <x v="1"/>
    <n v="0.60000000000000009"/>
    <n v="5750"/>
    <x v="225"/>
    <n v="1207.5"/>
    <n v="0.35"/>
  </r>
  <r>
    <x v="0"/>
    <x v="0"/>
    <x v="113"/>
    <x v="4"/>
    <s v="Kentucky"/>
    <s v="Louisville"/>
    <x v="2"/>
    <n v="0.60000000000000009"/>
    <n v="5250"/>
    <x v="254"/>
    <n v="1260.0000000000002"/>
    <n v="0.4"/>
  </r>
  <r>
    <x v="0"/>
    <x v="0"/>
    <x v="113"/>
    <x v="4"/>
    <s v="Kentucky"/>
    <s v="Louisville"/>
    <x v="3"/>
    <n v="0.60000000000000009"/>
    <n v="4750"/>
    <x v="231"/>
    <n v="1140.0000000000002"/>
    <n v="0.4"/>
  </r>
  <r>
    <x v="0"/>
    <x v="0"/>
    <x v="113"/>
    <x v="4"/>
    <s v="Kentucky"/>
    <s v="Louisville"/>
    <x v="4"/>
    <n v="0.70000000000000007"/>
    <n v="4750"/>
    <x v="204"/>
    <n v="1163.75"/>
    <n v="0.35"/>
  </r>
  <r>
    <x v="0"/>
    <x v="0"/>
    <x v="113"/>
    <x v="4"/>
    <s v="Kentucky"/>
    <s v="Louisville"/>
    <x v="5"/>
    <n v="0.75"/>
    <n v="5750"/>
    <x v="275"/>
    <n v="2156.25"/>
    <n v="0.5"/>
  </r>
  <r>
    <x v="1"/>
    <x v="1"/>
    <x v="180"/>
    <x v="1"/>
    <s v="Mississippi"/>
    <s v="Jackson"/>
    <x v="0"/>
    <n v="0.25000000000000006"/>
    <n v="6500"/>
    <x v="639"/>
    <n v="650.00000000000023"/>
    <n v="0.4"/>
  </r>
  <r>
    <x v="1"/>
    <x v="1"/>
    <x v="180"/>
    <x v="1"/>
    <s v="Mississippi"/>
    <s v="Jackson"/>
    <x v="1"/>
    <n v="0.25000000000000006"/>
    <n v="4500"/>
    <x v="133"/>
    <n v="393.75000000000006"/>
    <n v="0.35"/>
  </r>
  <r>
    <x v="1"/>
    <x v="1"/>
    <x v="180"/>
    <x v="1"/>
    <s v="Mississippi"/>
    <s v="Jackson"/>
    <x v="2"/>
    <n v="0.15000000000000008"/>
    <n v="4500"/>
    <x v="640"/>
    <n v="270.00000000000017"/>
    <n v="0.4"/>
  </r>
  <r>
    <x v="1"/>
    <x v="1"/>
    <x v="180"/>
    <x v="1"/>
    <s v="Mississippi"/>
    <s v="Jackson"/>
    <x v="3"/>
    <n v="0.2"/>
    <n v="3000"/>
    <x v="128"/>
    <n v="240"/>
    <n v="0.4"/>
  </r>
  <r>
    <x v="1"/>
    <x v="1"/>
    <x v="180"/>
    <x v="1"/>
    <s v="Mississippi"/>
    <s v="Jackson"/>
    <x v="4"/>
    <n v="0.35000000000000003"/>
    <n v="3500"/>
    <x v="206"/>
    <n v="428.75000000000006"/>
    <n v="0.35"/>
  </r>
  <r>
    <x v="1"/>
    <x v="1"/>
    <x v="180"/>
    <x v="1"/>
    <s v="Mississippi"/>
    <s v="Jackson"/>
    <x v="5"/>
    <n v="0.25000000000000006"/>
    <n v="4500"/>
    <x v="133"/>
    <n v="450.00000000000011"/>
    <n v="0.4"/>
  </r>
  <r>
    <x v="1"/>
    <x v="1"/>
    <x v="227"/>
    <x v="1"/>
    <s v="Mississippi"/>
    <s v="Jackson"/>
    <x v="0"/>
    <n v="0.25000000000000006"/>
    <n v="7000"/>
    <x v="482"/>
    <n v="700.00000000000023"/>
    <n v="0.4"/>
  </r>
  <r>
    <x v="1"/>
    <x v="1"/>
    <x v="227"/>
    <x v="1"/>
    <s v="Mississippi"/>
    <s v="Jackson"/>
    <x v="1"/>
    <n v="0.25000000000000006"/>
    <n v="3500"/>
    <x v="504"/>
    <n v="306.25000000000006"/>
    <n v="0.35"/>
  </r>
  <r>
    <x v="1"/>
    <x v="1"/>
    <x v="227"/>
    <x v="1"/>
    <s v="Mississippi"/>
    <s v="Jackson"/>
    <x v="2"/>
    <n v="0.15000000000000008"/>
    <n v="4000"/>
    <x v="641"/>
    <n v="240.00000000000014"/>
    <n v="0.4"/>
  </r>
  <r>
    <x v="1"/>
    <x v="1"/>
    <x v="227"/>
    <x v="1"/>
    <s v="Mississippi"/>
    <s v="Jackson"/>
    <x v="3"/>
    <n v="0.2"/>
    <n v="2500"/>
    <x v="118"/>
    <n v="200"/>
    <n v="0.4"/>
  </r>
  <r>
    <x v="1"/>
    <x v="1"/>
    <x v="227"/>
    <x v="1"/>
    <s v="Mississippi"/>
    <s v="Jackson"/>
    <x v="4"/>
    <n v="0.35000000000000003"/>
    <n v="3250"/>
    <x v="165"/>
    <n v="398.125"/>
    <n v="0.35"/>
  </r>
  <r>
    <x v="1"/>
    <x v="1"/>
    <x v="227"/>
    <x v="1"/>
    <s v="Mississippi"/>
    <s v="Jackson"/>
    <x v="5"/>
    <n v="0.2"/>
    <n v="4250"/>
    <x v="501"/>
    <n v="340"/>
    <n v="0.4"/>
  </r>
  <r>
    <x v="1"/>
    <x v="1"/>
    <x v="26"/>
    <x v="1"/>
    <s v="Mississippi"/>
    <s v="Jackson"/>
    <x v="0"/>
    <n v="0.2"/>
    <n v="6450"/>
    <x v="642"/>
    <n v="516"/>
    <n v="0.4"/>
  </r>
  <r>
    <x v="1"/>
    <x v="1"/>
    <x v="26"/>
    <x v="1"/>
    <s v="Mississippi"/>
    <s v="Jackson"/>
    <x v="1"/>
    <n v="0.2"/>
    <n v="3250"/>
    <x v="406"/>
    <n v="227.49999999999997"/>
    <n v="0.35"/>
  </r>
  <r>
    <x v="1"/>
    <x v="1"/>
    <x v="26"/>
    <x v="1"/>
    <s v="Mississippi"/>
    <s v="Jackson"/>
    <x v="2"/>
    <n v="0.10000000000000002"/>
    <n v="3500"/>
    <x v="367"/>
    <n v="140.00000000000003"/>
    <n v="0.4"/>
  </r>
  <r>
    <x v="1"/>
    <x v="1"/>
    <x v="26"/>
    <x v="1"/>
    <s v="Mississippi"/>
    <s v="Jackson"/>
    <x v="3"/>
    <n v="0.19999999999999996"/>
    <n v="2000"/>
    <x v="643"/>
    <n v="159.99999999999997"/>
    <n v="0.4"/>
  </r>
  <r>
    <x v="1"/>
    <x v="1"/>
    <x v="26"/>
    <x v="1"/>
    <s v="Mississippi"/>
    <s v="Jackson"/>
    <x v="4"/>
    <n v="0.35000000000000009"/>
    <n v="2500"/>
    <x v="504"/>
    <n v="306.25000000000006"/>
    <n v="0.35"/>
  </r>
  <r>
    <x v="1"/>
    <x v="1"/>
    <x v="26"/>
    <x v="1"/>
    <s v="Mississippi"/>
    <s v="Jackson"/>
    <x v="5"/>
    <n v="0.25"/>
    <n v="3500"/>
    <x v="131"/>
    <n v="350"/>
    <n v="0.4"/>
  </r>
  <r>
    <x v="1"/>
    <x v="1"/>
    <x v="27"/>
    <x v="1"/>
    <s v="Mississippi"/>
    <s v="Jackson"/>
    <x v="0"/>
    <n v="0.25"/>
    <n v="6000"/>
    <x v="146"/>
    <n v="600"/>
    <n v="0.4"/>
  </r>
  <r>
    <x v="1"/>
    <x v="1"/>
    <x v="27"/>
    <x v="1"/>
    <s v="Mississippi"/>
    <s v="Jackson"/>
    <x v="1"/>
    <n v="0.25"/>
    <n v="3000"/>
    <x v="126"/>
    <n v="262.5"/>
    <n v="0.35"/>
  </r>
  <r>
    <x v="1"/>
    <x v="1"/>
    <x v="27"/>
    <x v="1"/>
    <s v="Mississippi"/>
    <s v="Jackson"/>
    <x v="2"/>
    <n v="0.15000000000000002"/>
    <n v="3000"/>
    <x v="362"/>
    <n v="180.00000000000003"/>
    <n v="0.4"/>
  </r>
  <r>
    <x v="1"/>
    <x v="1"/>
    <x v="27"/>
    <x v="1"/>
    <s v="Mississippi"/>
    <s v="Jackson"/>
    <x v="3"/>
    <n v="0.19999999999999996"/>
    <n v="2250"/>
    <x v="644"/>
    <n v="179.99999999999997"/>
    <n v="0.4"/>
  </r>
  <r>
    <x v="1"/>
    <x v="1"/>
    <x v="27"/>
    <x v="1"/>
    <s v="Mississippi"/>
    <s v="Jackson"/>
    <x v="4"/>
    <n v="0.4"/>
    <n v="2500"/>
    <x v="123"/>
    <n v="350"/>
    <n v="0.35"/>
  </r>
  <r>
    <x v="1"/>
    <x v="1"/>
    <x v="27"/>
    <x v="1"/>
    <s v="Mississippi"/>
    <s v="Jackson"/>
    <x v="5"/>
    <n v="0.30000000000000004"/>
    <n v="4000"/>
    <x v="200"/>
    <n v="480.00000000000011"/>
    <n v="0.4"/>
  </r>
  <r>
    <x v="1"/>
    <x v="1"/>
    <x v="168"/>
    <x v="1"/>
    <s v="Mississippi"/>
    <s v="Jackson"/>
    <x v="0"/>
    <n v="0.4"/>
    <n v="6700"/>
    <x v="645"/>
    <n v="1072"/>
    <n v="0.4"/>
  </r>
  <r>
    <x v="1"/>
    <x v="1"/>
    <x v="168"/>
    <x v="1"/>
    <s v="Mississippi"/>
    <s v="Jackson"/>
    <x v="1"/>
    <n v="0.4"/>
    <n v="3750"/>
    <x v="146"/>
    <n v="525"/>
    <n v="0.35"/>
  </r>
  <r>
    <x v="1"/>
    <x v="1"/>
    <x v="168"/>
    <x v="1"/>
    <s v="Mississippi"/>
    <s v="Jackson"/>
    <x v="2"/>
    <n v="0.35000000000000003"/>
    <n v="3500"/>
    <x v="206"/>
    <n v="490.00000000000011"/>
    <n v="0.4"/>
  </r>
  <r>
    <x v="1"/>
    <x v="1"/>
    <x v="168"/>
    <x v="1"/>
    <s v="Mississippi"/>
    <s v="Jackson"/>
    <x v="3"/>
    <n v="0.35000000000000003"/>
    <n v="3000"/>
    <x v="202"/>
    <n v="420"/>
    <n v="0.4"/>
  </r>
  <r>
    <x v="1"/>
    <x v="1"/>
    <x v="168"/>
    <x v="1"/>
    <s v="Mississippi"/>
    <s v="Jackson"/>
    <x v="4"/>
    <n v="0.44999999999999996"/>
    <n v="3250"/>
    <x v="199"/>
    <n v="511.87499999999989"/>
    <n v="0.35"/>
  </r>
  <r>
    <x v="1"/>
    <x v="1"/>
    <x v="168"/>
    <x v="1"/>
    <s v="Mississippi"/>
    <s v="Jackson"/>
    <x v="5"/>
    <n v="0.44999999999999996"/>
    <n v="4250"/>
    <x v="646"/>
    <n v="765"/>
    <n v="0.4"/>
  </r>
  <r>
    <x v="1"/>
    <x v="1"/>
    <x v="228"/>
    <x v="1"/>
    <s v="Mississippi"/>
    <s v="Jackson"/>
    <x v="0"/>
    <n v="0.39999999999999997"/>
    <n v="6750"/>
    <x v="52"/>
    <n v="1080"/>
    <n v="0.4"/>
  </r>
  <r>
    <x v="1"/>
    <x v="1"/>
    <x v="228"/>
    <x v="1"/>
    <s v="Mississippi"/>
    <s v="Jackson"/>
    <x v="1"/>
    <n v="0.35000000000000003"/>
    <n v="4250"/>
    <x v="343"/>
    <n v="520.625"/>
    <n v="0.35"/>
  </r>
  <r>
    <x v="1"/>
    <x v="1"/>
    <x v="228"/>
    <x v="1"/>
    <s v="Mississippi"/>
    <s v="Jackson"/>
    <x v="2"/>
    <n v="0.4"/>
    <n v="4000"/>
    <x v="173"/>
    <n v="640"/>
    <n v="0.4"/>
  </r>
  <r>
    <x v="1"/>
    <x v="1"/>
    <x v="228"/>
    <x v="1"/>
    <s v="Mississippi"/>
    <s v="Jackson"/>
    <x v="3"/>
    <n v="0.4"/>
    <n v="3750"/>
    <x v="146"/>
    <n v="600"/>
    <n v="0.4"/>
  </r>
  <r>
    <x v="1"/>
    <x v="1"/>
    <x v="228"/>
    <x v="1"/>
    <s v="Mississippi"/>
    <s v="Jackson"/>
    <x v="4"/>
    <n v="0.54999999999999993"/>
    <n v="3750"/>
    <x v="210"/>
    <n v="721.87499999999977"/>
    <n v="0.35"/>
  </r>
  <r>
    <x v="1"/>
    <x v="1"/>
    <x v="228"/>
    <x v="1"/>
    <s v="Mississippi"/>
    <s v="Jackson"/>
    <x v="5"/>
    <n v="0.6"/>
    <n v="5500"/>
    <x v="211"/>
    <n v="1320"/>
    <n v="0.4"/>
  </r>
  <r>
    <x v="1"/>
    <x v="1"/>
    <x v="30"/>
    <x v="1"/>
    <s v="Mississippi"/>
    <s v="Jackson"/>
    <x v="0"/>
    <n v="0.54999999999999993"/>
    <n v="7750"/>
    <x v="475"/>
    <n v="1704.9999999999998"/>
    <n v="0.4"/>
  </r>
  <r>
    <x v="1"/>
    <x v="1"/>
    <x v="30"/>
    <x v="1"/>
    <s v="Mississippi"/>
    <s v="Jackson"/>
    <x v="1"/>
    <n v="0.5"/>
    <n v="5250"/>
    <x v="48"/>
    <n v="918.74999999999989"/>
    <n v="0.35"/>
  </r>
  <r>
    <x v="1"/>
    <x v="1"/>
    <x v="30"/>
    <x v="1"/>
    <s v="Mississippi"/>
    <s v="Jackson"/>
    <x v="2"/>
    <n v="0.45"/>
    <n v="4500"/>
    <x v="158"/>
    <n v="810"/>
    <n v="0.4"/>
  </r>
  <r>
    <x v="1"/>
    <x v="1"/>
    <x v="30"/>
    <x v="1"/>
    <s v="Mississippi"/>
    <s v="Jackson"/>
    <x v="3"/>
    <n v="0.45"/>
    <n v="4000"/>
    <x v="207"/>
    <n v="720"/>
    <n v="0.4"/>
  </r>
  <r>
    <x v="1"/>
    <x v="1"/>
    <x v="30"/>
    <x v="1"/>
    <s v="Mississippi"/>
    <s v="Jackson"/>
    <x v="4"/>
    <n v="0.6"/>
    <n v="4250"/>
    <x v="141"/>
    <n v="892.5"/>
    <n v="0.35"/>
  </r>
  <r>
    <x v="1"/>
    <x v="1"/>
    <x v="30"/>
    <x v="1"/>
    <s v="Mississippi"/>
    <s v="Jackson"/>
    <x v="5"/>
    <n v="0.65"/>
    <n v="6000"/>
    <x v="87"/>
    <n v="1560"/>
    <n v="0.4"/>
  </r>
  <r>
    <x v="1"/>
    <x v="1"/>
    <x v="31"/>
    <x v="1"/>
    <s v="Mississippi"/>
    <s v="Jackson"/>
    <x v="0"/>
    <n v="0.6"/>
    <n v="7500"/>
    <x v="6"/>
    <n v="1800"/>
    <n v="0.4"/>
  </r>
  <r>
    <x v="1"/>
    <x v="1"/>
    <x v="31"/>
    <x v="1"/>
    <s v="Mississippi"/>
    <s v="Jackson"/>
    <x v="1"/>
    <n v="0.55000000000000004"/>
    <n v="5250"/>
    <x v="170"/>
    <n v="1010.6250000000001"/>
    <n v="0.35"/>
  </r>
  <r>
    <x v="1"/>
    <x v="1"/>
    <x v="31"/>
    <x v="1"/>
    <s v="Mississippi"/>
    <s v="Jackson"/>
    <x v="2"/>
    <n v="0.5"/>
    <n v="4500"/>
    <x v="39"/>
    <n v="900"/>
    <n v="0.4"/>
  </r>
  <r>
    <x v="1"/>
    <x v="1"/>
    <x v="31"/>
    <x v="1"/>
    <s v="Mississippi"/>
    <s v="Jackson"/>
    <x v="3"/>
    <n v="0.4"/>
    <n v="4000"/>
    <x v="173"/>
    <n v="640"/>
    <n v="0.4"/>
  </r>
  <r>
    <x v="1"/>
    <x v="1"/>
    <x v="31"/>
    <x v="1"/>
    <s v="Mississippi"/>
    <s v="Jackson"/>
    <x v="4"/>
    <n v="0.5"/>
    <n v="3750"/>
    <x v="203"/>
    <n v="656.25"/>
    <n v="0.35"/>
  </r>
  <r>
    <x v="1"/>
    <x v="1"/>
    <x v="31"/>
    <x v="1"/>
    <s v="Mississippi"/>
    <s v="Jackson"/>
    <x v="5"/>
    <n v="0.55000000000000004"/>
    <n v="5500"/>
    <x v="446"/>
    <n v="1210.0000000000002"/>
    <n v="0.4"/>
  </r>
  <r>
    <x v="1"/>
    <x v="1"/>
    <x v="170"/>
    <x v="1"/>
    <s v="Mississippi"/>
    <s v="Jackson"/>
    <x v="0"/>
    <n v="0.5"/>
    <n v="6500"/>
    <x v="82"/>
    <n v="1300"/>
    <n v="0.4"/>
  </r>
  <r>
    <x v="1"/>
    <x v="1"/>
    <x v="170"/>
    <x v="1"/>
    <s v="Mississippi"/>
    <s v="Jackson"/>
    <x v="1"/>
    <n v="0.40000000000000013"/>
    <n v="4500"/>
    <x v="647"/>
    <n v="630.00000000000023"/>
    <n v="0.35"/>
  </r>
  <r>
    <x v="1"/>
    <x v="1"/>
    <x v="170"/>
    <x v="1"/>
    <s v="Mississippi"/>
    <s v="Jackson"/>
    <x v="2"/>
    <n v="0.15000000000000008"/>
    <n v="3500"/>
    <x v="648"/>
    <n v="210.00000000000011"/>
    <n v="0.4"/>
  </r>
  <r>
    <x v="1"/>
    <x v="1"/>
    <x v="170"/>
    <x v="1"/>
    <s v="Mississippi"/>
    <s v="Jackson"/>
    <x v="3"/>
    <n v="0.15000000000000008"/>
    <n v="3250"/>
    <x v="529"/>
    <n v="195.00000000000011"/>
    <n v="0.4"/>
  </r>
  <r>
    <x v="1"/>
    <x v="1"/>
    <x v="170"/>
    <x v="1"/>
    <s v="Mississippi"/>
    <s v="Jackson"/>
    <x v="4"/>
    <n v="0.25000000000000006"/>
    <n v="3250"/>
    <x v="512"/>
    <n v="284.37500000000006"/>
    <n v="0.35"/>
  </r>
  <r>
    <x v="1"/>
    <x v="1"/>
    <x v="170"/>
    <x v="1"/>
    <s v="Mississippi"/>
    <s v="Jackson"/>
    <x v="5"/>
    <n v="0.3000000000000001"/>
    <n v="4250"/>
    <x v="611"/>
    <n v="510.00000000000023"/>
    <n v="0.4"/>
  </r>
  <r>
    <x v="1"/>
    <x v="1"/>
    <x v="229"/>
    <x v="1"/>
    <s v="Mississippi"/>
    <s v="Jackson"/>
    <x v="0"/>
    <n v="0.3000000000000001"/>
    <n v="6000"/>
    <x v="647"/>
    <n v="720.00000000000034"/>
    <n v="0.4"/>
  </r>
  <r>
    <x v="1"/>
    <x v="1"/>
    <x v="229"/>
    <x v="1"/>
    <s v="Mississippi"/>
    <s v="Jackson"/>
    <x v="1"/>
    <n v="0.20000000000000012"/>
    <n v="4250"/>
    <x v="649"/>
    <n v="297.50000000000017"/>
    <n v="0.35"/>
  </r>
  <r>
    <x v="1"/>
    <x v="1"/>
    <x v="229"/>
    <x v="1"/>
    <s v="Mississippi"/>
    <s v="Jackson"/>
    <x v="2"/>
    <n v="0.20000000000000012"/>
    <n v="3000"/>
    <x v="641"/>
    <n v="240.00000000000014"/>
    <n v="0.4"/>
  </r>
  <r>
    <x v="1"/>
    <x v="1"/>
    <x v="229"/>
    <x v="1"/>
    <s v="Mississippi"/>
    <s v="Jackson"/>
    <x v="3"/>
    <n v="0.20000000000000012"/>
    <n v="2750"/>
    <x v="650"/>
    <n v="220.00000000000014"/>
    <n v="0.4"/>
  </r>
  <r>
    <x v="1"/>
    <x v="1"/>
    <x v="229"/>
    <x v="1"/>
    <s v="Mississippi"/>
    <s v="Jackson"/>
    <x v="4"/>
    <n v="0.3000000000000001"/>
    <n v="2750"/>
    <x v="651"/>
    <n v="288.75000000000006"/>
    <n v="0.35"/>
  </r>
  <r>
    <x v="1"/>
    <x v="1"/>
    <x v="229"/>
    <x v="1"/>
    <s v="Mississippi"/>
    <s v="Jackson"/>
    <x v="5"/>
    <n v="0.30000000000000004"/>
    <n v="4000"/>
    <x v="200"/>
    <n v="480.00000000000011"/>
    <n v="0.4"/>
  </r>
  <r>
    <x v="1"/>
    <x v="1"/>
    <x v="34"/>
    <x v="1"/>
    <s v="Mississippi"/>
    <s v="Jackson"/>
    <x v="0"/>
    <n v="0.25000000000000011"/>
    <n v="5500"/>
    <x v="652"/>
    <n v="550.00000000000034"/>
    <n v="0.4"/>
  </r>
  <r>
    <x v="1"/>
    <x v="1"/>
    <x v="34"/>
    <x v="1"/>
    <s v="Mississippi"/>
    <s v="Jackson"/>
    <x v="1"/>
    <n v="0.15000000000000013"/>
    <n v="3750"/>
    <x v="653"/>
    <n v="196.87500000000014"/>
    <n v="0.35"/>
  </r>
  <r>
    <x v="1"/>
    <x v="1"/>
    <x v="34"/>
    <x v="1"/>
    <s v="Mississippi"/>
    <s v="Jackson"/>
    <x v="2"/>
    <n v="0.25000000000000017"/>
    <n v="3200"/>
    <x v="654"/>
    <n v="320.00000000000023"/>
    <n v="0.4"/>
  </r>
  <r>
    <x v="1"/>
    <x v="1"/>
    <x v="34"/>
    <x v="1"/>
    <s v="Mississippi"/>
    <s v="Jackson"/>
    <x v="3"/>
    <n v="0.55000000000000016"/>
    <n v="3750"/>
    <x v="655"/>
    <n v="825.00000000000023"/>
    <n v="0.4"/>
  </r>
  <r>
    <x v="1"/>
    <x v="1"/>
    <x v="34"/>
    <x v="1"/>
    <s v="Mississippi"/>
    <s v="Jackson"/>
    <x v="4"/>
    <n v="0.75000000000000011"/>
    <n v="3500"/>
    <x v="195"/>
    <n v="918.75000000000011"/>
    <n v="0.35"/>
  </r>
  <r>
    <x v="1"/>
    <x v="1"/>
    <x v="34"/>
    <x v="1"/>
    <s v="Mississippi"/>
    <s v="Jackson"/>
    <x v="5"/>
    <n v="0.75"/>
    <n v="4500"/>
    <x v="73"/>
    <n v="1350"/>
    <n v="0.4"/>
  </r>
  <r>
    <x v="1"/>
    <x v="1"/>
    <x v="35"/>
    <x v="1"/>
    <s v="Mississippi"/>
    <s v="Jackson"/>
    <x v="0"/>
    <n v="0.70000000000000007"/>
    <n v="7000"/>
    <x v="107"/>
    <n v="1960.0000000000005"/>
    <n v="0.4"/>
  </r>
  <r>
    <x v="1"/>
    <x v="1"/>
    <x v="35"/>
    <x v="1"/>
    <s v="Mississippi"/>
    <s v="Jackson"/>
    <x v="1"/>
    <n v="0.60000000000000009"/>
    <n v="5000"/>
    <x v="252"/>
    <n v="1050"/>
    <n v="0.35"/>
  </r>
  <r>
    <x v="1"/>
    <x v="1"/>
    <x v="35"/>
    <x v="1"/>
    <s v="Mississippi"/>
    <s v="Jackson"/>
    <x v="2"/>
    <n v="0.60000000000000009"/>
    <n v="4500"/>
    <x v="217"/>
    <n v="1080.0000000000002"/>
    <n v="0.4"/>
  </r>
  <r>
    <x v="1"/>
    <x v="1"/>
    <x v="35"/>
    <x v="1"/>
    <s v="Mississippi"/>
    <s v="Jackson"/>
    <x v="3"/>
    <n v="0.60000000000000009"/>
    <n v="4000"/>
    <x v="218"/>
    <n v="960.00000000000023"/>
    <n v="0.4"/>
  </r>
  <r>
    <x v="1"/>
    <x v="1"/>
    <x v="35"/>
    <x v="1"/>
    <s v="Mississippi"/>
    <s v="Jackson"/>
    <x v="4"/>
    <n v="0.70000000000000007"/>
    <n v="4000"/>
    <x v="219"/>
    <n v="980.00000000000011"/>
    <n v="0.35"/>
  </r>
  <r>
    <x v="1"/>
    <x v="1"/>
    <x v="35"/>
    <x v="1"/>
    <s v="Mississippi"/>
    <s v="Jackson"/>
    <x v="5"/>
    <n v="0.75"/>
    <n v="5000"/>
    <x v="69"/>
    <n v="1500"/>
    <n v="0.4"/>
  </r>
  <r>
    <x v="1"/>
    <x v="1"/>
    <x v="180"/>
    <x v="1"/>
    <s v="Arkansas"/>
    <s v="Little Rock"/>
    <x v="0"/>
    <n v="0.25000000000000006"/>
    <n v="5750"/>
    <x v="345"/>
    <n v="575.00000000000011"/>
    <n v="0.4"/>
  </r>
  <r>
    <x v="1"/>
    <x v="1"/>
    <x v="180"/>
    <x v="1"/>
    <s v="Arkansas"/>
    <s v="Little Rock"/>
    <x v="1"/>
    <n v="0.25000000000000006"/>
    <n v="3750"/>
    <x v="510"/>
    <n v="328.12500000000006"/>
    <n v="0.35"/>
  </r>
  <r>
    <x v="1"/>
    <x v="1"/>
    <x v="180"/>
    <x v="1"/>
    <s v="Arkansas"/>
    <s v="Little Rock"/>
    <x v="2"/>
    <n v="0.15000000000000008"/>
    <n v="3750"/>
    <x v="656"/>
    <n v="225.00000000000014"/>
    <n v="0.4"/>
  </r>
  <r>
    <x v="1"/>
    <x v="1"/>
    <x v="180"/>
    <x v="1"/>
    <s v="Arkansas"/>
    <s v="Little Rock"/>
    <x v="3"/>
    <n v="0.2"/>
    <n v="2250"/>
    <x v="185"/>
    <n v="180"/>
    <n v="0.4"/>
  </r>
  <r>
    <x v="1"/>
    <x v="1"/>
    <x v="180"/>
    <x v="1"/>
    <s v="Arkansas"/>
    <s v="Little Rock"/>
    <x v="4"/>
    <n v="0.35000000000000003"/>
    <n v="2750"/>
    <x v="117"/>
    <n v="336.875"/>
    <n v="0.35"/>
  </r>
  <r>
    <x v="1"/>
    <x v="1"/>
    <x v="180"/>
    <x v="1"/>
    <s v="Arkansas"/>
    <s v="Little Rock"/>
    <x v="5"/>
    <n v="0.25000000000000006"/>
    <n v="3750"/>
    <x v="510"/>
    <n v="375.00000000000011"/>
    <n v="0.4"/>
  </r>
  <r>
    <x v="1"/>
    <x v="1"/>
    <x v="227"/>
    <x v="1"/>
    <s v="Arkansas"/>
    <s v="Little Rock"/>
    <x v="0"/>
    <n v="0.25000000000000006"/>
    <n v="6250"/>
    <x v="657"/>
    <n v="625.00000000000023"/>
    <n v="0.4"/>
  </r>
  <r>
    <x v="1"/>
    <x v="1"/>
    <x v="227"/>
    <x v="1"/>
    <s v="Arkansas"/>
    <s v="Little Rock"/>
    <x v="1"/>
    <n v="0.25000000000000006"/>
    <n v="2750"/>
    <x v="502"/>
    <n v="240.62500000000003"/>
    <n v="0.35"/>
  </r>
  <r>
    <x v="1"/>
    <x v="1"/>
    <x v="227"/>
    <x v="1"/>
    <s v="Arkansas"/>
    <s v="Little Rock"/>
    <x v="2"/>
    <n v="0.15000000000000008"/>
    <n v="3250"/>
    <x v="529"/>
    <n v="195.00000000000011"/>
    <n v="0.4"/>
  </r>
  <r>
    <x v="1"/>
    <x v="1"/>
    <x v="227"/>
    <x v="1"/>
    <s v="Arkansas"/>
    <s v="Little Rock"/>
    <x v="3"/>
    <n v="0.2"/>
    <n v="1750"/>
    <x v="326"/>
    <n v="140"/>
    <n v="0.4"/>
  </r>
  <r>
    <x v="1"/>
    <x v="1"/>
    <x v="227"/>
    <x v="1"/>
    <s v="Arkansas"/>
    <s v="Little Rock"/>
    <x v="4"/>
    <n v="0.35000000000000003"/>
    <n v="2500"/>
    <x v="622"/>
    <n v="306.25"/>
    <n v="0.35"/>
  </r>
  <r>
    <x v="1"/>
    <x v="1"/>
    <x v="227"/>
    <x v="1"/>
    <s v="Arkansas"/>
    <s v="Little Rock"/>
    <x v="5"/>
    <n v="0.2"/>
    <n v="3500"/>
    <x v="135"/>
    <n v="280"/>
    <n v="0.4"/>
  </r>
  <r>
    <x v="1"/>
    <x v="1"/>
    <x v="26"/>
    <x v="1"/>
    <s v="Arkansas"/>
    <s v="Little Rock"/>
    <x v="0"/>
    <n v="0.2"/>
    <n v="5700"/>
    <x v="658"/>
    <n v="456"/>
    <n v="0.4"/>
  </r>
  <r>
    <x v="1"/>
    <x v="1"/>
    <x v="26"/>
    <x v="1"/>
    <s v="Arkansas"/>
    <s v="Little Rock"/>
    <x v="1"/>
    <n v="0.2"/>
    <n v="2500"/>
    <x v="118"/>
    <n v="175"/>
    <n v="0.35"/>
  </r>
  <r>
    <x v="1"/>
    <x v="1"/>
    <x v="26"/>
    <x v="1"/>
    <s v="Arkansas"/>
    <s v="Little Rock"/>
    <x v="2"/>
    <n v="0.10000000000000002"/>
    <n v="2750"/>
    <x v="659"/>
    <n v="110.00000000000003"/>
    <n v="0.4"/>
  </r>
  <r>
    <x v="1"/>
    <x v="1"/>
    <x v="26"/>
    <x v="1"/>
    <s v="Arkansas"/>
    <s v="Little Rock"/>
    <x v="3"/>
    <n v="0.19999999999999996"/>
    <n v="1250"/>
    <x v="660"/>
    <n v="99.999999999999986"/>
    <n v="0.4"/>
  </r>
  <r>
    <x v="1"/>
    <x v="1"/>
    <x v="26"/>
    <x v="1"/>
    <s v="Arkansas"/>
    <s v="Little Rock"/>
    <x v="4"/>
    <n v="0.35000000000000009"/>
    <n v="1750"/>
    <x v="181"/>
    <n v="214.37500000000003"/>
    <n v="0.35"/>
  </r>
  <r>
    <x v="1"/>
    <x v="1"/>
    <x v="26"/>
    <x v="1"/>
    <s v="Arkansas"/>
    <s v="Little Rock"/>
    <x v="5"/>
    <n v="0.25"/>
    <n v="2750"/>
    <x v="389"/>
    <n v="275"/>
    <n v="0.4"/>
  </r>
  <r>
    <x v="1"/>
    <x v="1"/>
    <x v="27"/>
    <x v="1"/>
    <s v="Arkansas"/>
    <s v="Little Rock"/>
    <x v="0"/>
    <n v="0.25"/>
    <n v="5250"/>
    <x v="385"/>
    <n v="525"/>
    <n v="0.4"/>
  </r>
  <r>
    <x v="1"/>
    <x v="1"/>
    <x v="27"/>
    <x v="1"/>
    <s v="Arkansas"/>
    <s v="Little Rock"/>
    <x v="1"/>
    <n v="0.25"/>
    <n v="2250"/>
    <x v="180"/>
    <n v="196.875"/>
    <n v="0.35"/>
  </r>
  <r>
    <x v="1"/>
    <x v="1"/>
    <x v="27"/>
    <x v="1"/>
    <s v="Arkansas"/>
    <s v="Little Rock"/>
    <x v="2"/>
    <n v="0.15000000000000002"/>
    <n v="2250"/>
    <x v="661"/>
    <n v="135.00000000000003"/>
    <n v="0.4"/>
  </r>
  <r>
    <x v="1"/>
    <x v="1"/>
    <x v="27"/>
    <x v="1"/>
    <s v="Arkansas"/>
    <s v="Little Rock"/>
    <x v="3"/>
    <n v="0.19999999999999996"/>
    <n v="1500"/>
    <x v="662"/>
    <n v="119.99999999999999"/>
    <n v="0.4"/>
  </r>
  <r>
    <x v="1"/>
    <x v="1"/>
    <x v="27"/>
    <x v="1"/>
    <s v="Arkansas"/>
    <s v="Little Rock"/>
    <x v="4"/>
    <n v="0.4"/>
    <n v="1750"/>
    <x v="135"/>
    <n v="244.99999999999997"/>
    <n v="0.35"/>
  </r>
  <r>
    <x v="1"/>
    <x v="1"/>
    <x v="27"/>
    <x v="1"/>
    <s v="Arkansas"/>
    <s v="Little Rock"/>
    <x v="5"/>
    <n v="0.30000000000000004"/>
    <n v="3250"/>
    <x v="663"/>
    <n v="390.00000000000006"/>
    <n v="0.4"/>
  </r>
  <r>
    <x v="1"/>
    <x v="1"/>
    <x v="168"/>
    <x v="1"/>
    <s v="Arkansas"/>
    <s v="Little Rock"/>
    <x v="0"/>
    <n v="0.4"/>
    <n v="5950"/>
    <x v="664"/>
    <n v="952"/>
    <n v="0.4"/>
  </r>
  <r>
    <x v="1"/>
    <x v="1"/>
    <x v="168"/>
    <x v="1"/>
    <s v="Arkansas"/>
    <s v="Little Rock"/>
    <x v="1"/>
    <n v="0.4"/>
    <n v="3000"/>
    <x v="147"/>
    <n v="420"/>
    <n v="0.35"/>
  </r>
  <r>
    <x v="1"/>
    <x v="1"/>
    <x v="168"/>
    <x v="1"/>
    <s v="Arkansas"/>
    <s v="Little Rock"/>
    <x v="2"/>
    <n v="0.35000000000000003"/>
    <n v="2750"/>
    <x v="117"/>
    <n v="385.00000000000006"/>
    <n v="0.4"/>
  </r>
  <r>
    <x v="1"/>
    <x v="1"/>
    <x v="168"/>
    <x v="1"/>
    <s v="Arkansas"/>
    <s v="Little Rock"/>
    <x v="3"/>
    <n v="0.35000000000000003"/>
    <n v="2250"/>
    <x v="121"/>
    <n v="315.00000000000006"/>
    <n v="0.4"/>
  </r>
  <r>
    <x v="1"/>
    <x v="1"/>
    <x v="168"/>
    <x v="1"/>
    <s v="Arkansas"/>
    <s v="Little Rock"/>
    <x v="4"/>
    <n v="0.44999999999999996"/>
    <n v="2500"/>
    <x v="127"/>
    <n v="393.75"/>
    <n v="0.35"/>
  </r>
  <r>
    <x v="1"/>
    <x v="1"/>
    <x v="168"/>
    <x v="1"/>
    <s v="Arkansas"/>
    <s v="Little Rock"/>
    <x v="5"/>
    <n v="0.44999999999999996"/>
    <n v="3500"/>
    <x v="518"/>
    <n v="630"/>
    <n v="0.4"/>
  </r>
  <r>
    <x v="1"/>
    <x v="1"/>
    <x v="228"/>
    <x v="1"/>
    <s v="Arkansas"/>
    <s v="Little Rock"/>
    <x v="0"/>
    <n v="0.39999999999999997"/>
    <n v="6000"/>
    <x v="50"/>
    <n v="960"/>
    <n v="0.4"/>
  </r>
  <r>
    <x v="1"/>
    <x v="1"/>
    <x v="228"/>
    <x v="1"/>
    <s v="Arkansas"/>
    <s v="Little Rock"/>
    <x v="1"/>
    <n v="0.35000000000000003"/>
    <n v="3500"/>
    <x v="206"/>
    <n v="428.75000000000006"/>
    <n v="0.35"/>
  </r>
  <r>
    <x v="1"/>
    <x v="1"/>
    <x v="228"/>
    <x v="1"/>
    <s v="Arkansas"/>
    <s v="Little Rock"/>
    <x v="2"/>
    <n v="0.4"/>
    <n v="3250"/>
    <x v="194"/>
    <n v="520"/>
    <n v="0.4"/>
  </r>
  <r>
    <x v="1"/>
    <x v="1"/>
    <x v="228"/>
    <x v="1"/>
    <s v="Arkansas"/>
    <s v="Little Rock"/>
    <x v="3"/>
    <n v="0.4"/>
    <n v="3000"/>
    <x v="147"/>
    <n v="480"/>
    <n v="0.4"/>
  </r>
  <r>
    <x v="1"/>
    <x v="1"/>
    <x v="228"/>
    <x v="1"/>
    <s v="Arkansas"/>
    <s v="Little Rock"/>
    <x v="4"/>
    <n v="0.54999999999999993"/>
    <n v="3000"/>
    <x v="209"/>
    <n v="577.49999999999989"/>
    <n v="0.35"/>
  </r>
  <r>
    <x v="1"/>
    <x v="1"/>
    <x v="228"/>
    <x v="1"/>
    <s v="Arkansas"/>
    <s v="Little Rock"/>
    <x v="5"/>
    <n v="0.6"/>
    <n v="4750"/>
    <x v="175"/>
    <n v="1140"/>
    <n v="0.4"/>
  </r>
  <r>
    <x v="1"/>
    <x v="1"/>
    <x v="30"/>
    <x v="1"/>
    <s v="Arkansas"/>
    <s v="Little Rock"/>
    <x v="0"/>
    <n v="0.54999999999999993"/>
    <n v="7000"/>
    <x v="265"/>
    <n v="1540"/>
    <n v="0.4"/>
  </r>
  <r>
    <x v="1"/>
    <x v="1"/>
    <x v="30"/>
    <x v="1"/>
    <s v="Arkansas"/>
    <s v="Little Rock"/>
    <x v="1"/>
    <n v="0.5"/>
    <n v="4500"/>
    <x v="39"/>
    <n v="787.5"/>
    <n v="0.35"/>
  </r>
  <r>
    <x v="1"/>
    <x v="1"/>
    <x v="30"/>
    <x v="1"/>
    <s v="Arkansas"/>
    <s v="Little Rock"/>
    <x v="2"/>
    <n v="0.45"/>
    <n v="3750"/>
    <x v="153"/>
    <n v="675"/>
    <n v="0.4"/>
  </r>
  <r>
    <x v="1"/>
    <x v="1"/>
    <x v="30"/>
    <x v="1"/>
    <s v="Arkansas"/>
    <s v="Little Rock"/>
    <x v="3"/>
    <n v="0.45"/>
    <n v="3250"/>
    <x v="334"/>
    <n v="585"/>
    <n v="0.4"/>
  </r>
  <r>
    <x v="1"/>
    <x v="1"/>
    <x v="30"/>
    <x v="1"/>
    <s v="Arkansas"/>
    <s v="Little Rock"/>
    <x v="4"/>
    <n v="0.6"/>
    <n v="3500"/>
    <x v="193"/>
    <n v="735"/>
    <n v="0.35"/>
  </r>
  <r>
    <x v="1"/>
    <x v="1"/>
    <x v="30"/>
    <x v="1"/>
    <s v="Arkansas"/>
    <s v="Little Rock"/>
    <x v="5"/>
    <n v="0.65"/>
    <n v="5250"/>
    <x v="85"/>
    <n v="1365"/>
    <n v="0.4"/>
  </r>
  <r>
    <x v="1"/>
    <x v="1"/>
    <x v="31"/>
    <x v="1"/>
    <s v="Arkansas"/>
    <s v="Little Rock"/>
    <x v="0"/>
    <n v="0.6"/>
    <n v="6750"/>
    <x v="72"/>
    <n v="1620"/>
    <n v="0.4"/>
  </r>
  <r>
    <x v="1"/>
    <x v="1"/>
    <x v="31"/>
    <x v="1"/>
    <s v="Arkansas"/>
    <s v="Little Rock"/>
    <x v="1"/>
    <n v="0.55000000000000004"/>
    <n v="4500"/>
    <x v="111"/>
    <n v="866.25"/>
    <n v="0.35"/>
  </r>
  <r>
    <x v="1"/>
    <x v="1"/>
    <x v="31"/>
    <x v="1"/>
    <s v="Arkansas"/>
    <s v="Little Rock"/>
    <x v="2"/>
    <n v="0.5"/>
    <n v="3750"/>
    <x v="203"/>
    <n v="750"/>
    <n v="0.4"/>
  </r>
  <r>
    <x v="1"/>
    <x v="1"/>
    <x v="31"/>
    <x v="1"/>
    <s v="Arkansas"/>
    <s v="Little Rock"/>
    <x v="3"/>
    <n v="0.4"/>
    <n v="3250"/>
    <x v="194"/>
    <n v="520"/>
    <n v="0.4"/>
  </r>
  <r>
    <x v="1"/>
    <x v="1"/>
    <x v="31"/>
    <x v="1"/>
    <s v="Arkansas"/>
    <s v="Little Rock"/>
    <x v="4"/>
    <n v="0.5"/>
    <n v="3000"/>
    <x v="146"/>
    <n v="525"/>
    <n v="0.35"/>
  </r>
  <r>
    <x v="1"/>
    <x v="1"/>
    <x v="31"/>
    <x v="1"/>
    <s v="Arkansas"/>
    <s v="Little Rock"/>
    <x v="5"/>
    <n v="0.55000000000000004"/>
    <n v="4750"/>
    <x v="356"/>
    <n v="1045"/>
    <n v="0.4"/>
  </r>
  <r>
    <x v="1"/>
    <x v="1"/>
    <x v="170"/>
    <x v="1"/>
    <s v="Arkansas"/>
    <s v="Little Rock"/>
    <x v="0"/>
    <n v="0.5"/>
    <n v="5750"/>
    <x v="79"/>
    <n v="1150"/>
    <n v="0.4"/>
  </r>
  <r>
    <x v="1"/>
    <x v="1"/>
    <x v="170"/>
    <x v="1"/>
    <s v="Arkansas"/>
    <s v="Little Rock"/>
    <x v="1"/>
    <n v="0.40000000000000013"/>
    <n v="3750"/>
    <x v="665"/>
    <n v="525.00000000000011"/>
    <n v="0.35"/>
  </r>
  <r>
    <x v="1"/>
    <x v="1"/>
    <x v="170"/>
    <x v="1"/>
    <s v="Arkansas"/>
    <s v="Little Rock"/>
    <x v="2"/>
    <n v="0.15000000000000008"/>
    <n v="2750"/>
    <x v="666"/>
    <n v="165.00000000000011"/>
    <n v="0.4"/>
  </r>
  <r>
    <x v="1"/>
    <x v="1"/>
    <x v="170"/>
    <x v="1"/>
    <s v="Arkansas"/>
    <s v="Little Rock"/>
    <x v="3"/>
    <n v="0.15000000000000008"/>
    <n v="2500"/>
    <x v="667"/>
    <n v="150.00000000000009"/>
    <n v="0.4"/>
  </r>
  <r>
    <x v="1"/>
    <x v="1"/>
    <x v="170"/>
    <x v="1"/>
    <s v="Arkansas"/>
    <s v="Little Rock"/>
    <x v="4"/>
    <n v="0.25000000000000006"/>
    <n v="2500"/>
    <x v="472"/>
    <n v="218.75000000000003"/>
    <n v="0.35"/>
  </r>
  <r>
    <x v="1"/>
    <x v="1"/>
    <x v="170"/>
    <x v="1"/>
    <s v="Arkansas"/>
    <s v="Little Rock"/>
    <x v="5"/>
    <n v="0.3000000000000001"/>
    <n v="3500"/>
    <x v="509"/>
    <n v="420.00000000000023"/>
    <n v="0.4"/>
  </r>
  <r>
    <x v="1"/>
    <x v="1"/>
    <x v="229"/>
    <x v="1"/>
    <s v="Arkansas"/>
    <s v="Little Rock"/>
    <x v="0"/>
    <n v="0.3000000000000001"/>
    <n v="5250"/>
    <x v="570"/>
    <n v="630.00000000000023"/>
    <n v="0.4"/>
  </r>
  <r>
    <x v="1"/>
    <x v="1"/>
    <x v="229"/>
    <x v="1"/>
    <s v="Arkansas"/>
    <s v="Little Rock"/>
    <x v="1"/>
    <n v="0.20000000000000012"/>
    <n v="3500"/>
    <x v="668"/>
    <n v="245.00000000000014"/>
    <n v="0.35"/>
  </r>
  <r>
    <x v="1"/>
    <x v="1"/>
    <x v="229"/>
    <x v="1"/>
    <s v="Arkansas"/>
    <s v="Little Rock"/>
    <x v="2"/>
    <n v="0.20000000000000012"/>
    <n v="2250"/>
    <x v="669"/>
    <n v="180.00000000000011"/>
    <n v="0.4"/>
  </r>
  <r>
    <x v="1"/>
    <x v="1"/>
    <x v="229"/>
    <x v="1"/>
    <s v="Arkansas"/>
    <s v="Little Rock"/>
    <x v="3"/>
    <n v="0.20000000000000012"/>
    <n v="2000"/>
    <x v="670"/>
    <n v="160.00000000000011"/>
    <n v="0.4"/>
  </r>
  <r>
    <x v="1"/>
    <x v="1"/>
    <x v="229"/>
    <x v="1"/>
    <s v="Arkansas"/>
    <s v="Little Rock"/>
    <x v="4"/>
    <n v="0.3000000000000001"/>
    <n v="2000"/>
    <x v="525"/>
    <n v="210.00000000000006"/>
    <n v="0.35"/>
  </r>
  <r>
    <x v="1"/>
    <x v="1"/>
    <x v="229"/>
    <x v="1"/>
    <s v="Arkansas"/>
    <s v="Little Rock"/>
    <x v="5"/>
    <n v="0.30000000000000004"/>
    <n v="3250"/>
    <x v="663"/>
    <n v="390.00000000000006"/>
    <n v="0.4"/>
  </r>
  <r>
    <x v="1"/>
    <x v="1"/>
    <x v="34"/>
    <x v="1"/>
    <s v="Arkansas"/>
    <s v="Little Rock"/>
    <x v="0"/>
    <n v="0.25000000000000011"/>
    <n v="4750"/>
    <x v="671"/>
    <n v="475.00000000000023"/>
    <n v="0.4"/>
  </r>
  <r>
    <x v="1"/>
    <x v="1"/>
    <x v="34"/>
    <x v="1"/>
    <s v="Arkansas"/>
    <s v="Little Rock"/>
    <x v="1"/>
    <n v="0.15000000000000013"/>
    <n v="3000"/>
    <x v="672"/>
    <n v="157.50000000000014"/>
    <n v="0.35"/>
  </r>
  <r>
    <x v="1"/>
    <x v="1"/>
    <x v="34"/>
    <x v="1"/>
    <s v="Arkansas"/>
    <s v="Little Rock"/>
    <x v="2"/>
    <n v="0.25000000000000017"/>
    <n v="2450"/>
    <x v="673"/>
    <n v="245.0000000000002"/>
    <n v="0.4"/>
  </r>
  <r>
    <x v="1"/>
    <x v="1"/>
    <x v="34"/>
    <x v="1"/>
    <s v="Arkansas"/>
    <s v="Little Rock"/>
    <x v="3"/>
    <n v="0.55000000000000016"/>
    <n v="3000"/>
    <x v="534"/>
    <n v="660.00000000000023"/>
    <n v="0.4"/>
  </r>
  <r>
    <x v="1"/>
    <x v="1"/>
    <x v="34"/>
    <x v="1"/>
    <s v="Arkansas"/>
    <s v="Little Rock"/>
    <x v="4"/>
    <n v="0.75000000000000011"/>
    <n v="2750"/>
    <x v="655"/>
    <n v="721.87500000000011"/>
    <n v="0.35"/>
  </r>
  <r>
    <x v="1"/>
    <x v="1"/>
    <x v="34"/>
    <x v="1"/>
    <s v="Arkansas"/>
    <s v="Little Rock"/>
    <x v="5"/>
    <n v="0.75"/>
    <n v="3750"/>
    <x v="67"/>
    <n v="1125"/>
    <n v="0.4"/>
  </r>
  <r>
    <x v="1"/>
    <x v="1"/>
    <x v="35"/>
    <x v="1"/>
    <s v="Arkansas"/>
    <s v="Little Rock"/>
    <x v="0"/>
    <n v="0.70000000000000007"/>
    <n v="6250"/>
    <x v="242"/>
    <n v="1750"/>
    <n v="0.4"/>
  </r>
  <r>
    <x v="1"/>
    <x v="1"/>
    <x v="35"/>
    <x v="1"/>
    <s v="Arkansas"/>
    <s v="Little Rock"/>
    <x v="1"/>
    <n v="0.60000000000000009"/>
    <n v="4250"/>
    <x v="227"/>
    <n v="892.50000000000011"/>
    <n v="0.35"/>
  </r>
  <r>
    <x v="1"/>
    <x v="1"/>
    <x v="35"/>
    <x v="1"/>
    <s v="Arkansas"/>
    <s v="Little Rock"/>
    <x v="2"/>
    <n v="0.60000000000000009"/>
    <n v="3750"/>
    <x v="223"/>
    <n v="900.00000000000023"/>
    <n v="0.4"/>
  </r>
  <r>
    <x v="1"/>
    <x v="1"/>
    <x v="35"/>
    <x v="1"/>
    <s v="Arkansas"/>
    <s v="Little Rock"/>
    <x v="3"/>
    <n v="0.60000000000000009"/>
    <n v="3250"/>
    <x v="470"/>
    <n v="780.00000000000011"/>
    <n v="0.4"/>
  </r>
  <r>
    <x v="1"/>
    <x v="1"/>
    <x v="35"/>
    <x v="1"/>
    <s v="Arkansas"/>
    <s v="Little Rock"/>
    <x v="4"/>
    <n v="0.70000000000000007"/>
    <n v="3250"/>
    <x v="154"/>
    <n v="796.25"/>
    <n v="0.35"/>
  </r>
  <r>
    <x v="1"/>
    <x v="1"/>
    <x v="35"/>
    <x v="1"/>
    <s v="Arkansas"/>
    <s v="Little Rock"/>
    <x v="5"/>
    <n v="0.75"/>
    <n v="4250"/>
    <x v="674"/>
    <n v="1275"/>
    <n v="0.4"/>
  </r>
  <r>
    <x v="1"/>
    <x v="1"/>
    <x v="230"/>
    <x v="1"/>
    <s v="Oklahoma"/>
    <s v="Oklahoma City"/>
    <x v="0"/>
    <n v="0.25000000000000006"/>
    <n v="5500"/>
    <x v="559"/>
    <n v="481.25000000000006"/>
    <n v="0.35"/>
  </r>
  <r>
    <x v="1"/>
    <x v="1"/>
    <x v="230"/>
    <x v="1"/>
    <s v="Oklahoma"/>
    <s v="Oklahoma City"/>
    <x v="1"/>
    <n v="0.25000000000000006"/>
    <n v="3500"/>
    <x v="504"/>
    <n v="306.25000000000006"/>
    <n v="0.35"/>
  </r>
  <r>
    <x v="1"/>
    <x v="1"/>
    <x v="230"/>
    <x v="1"/>
    <s v="Oklahoma"/>
    <s v="Oklahoma City"/>
    <x v="2"/>
    <n v="0.15000000000000008"/>
    <n v="3500"/>
    <x v="648"/>
    <n v="183.75000000000006"/>
    <n v="0.35"/>
  </r>
  <r>
    <x v="1"/>
    <x v="1"/>
    <x v="230"/>
    <x v="1"/>
    <s v="Oklahoma"/>
    <s v="Oklahoma City"/>
    <x v="3"/>
    <n v="0.2"/>
    <n v="2000"/>
    <x v="122"/>
    <n v="140"/>
    <n v="0.35"/>
  </r>
  <r>
    <x v="1"/>
    <x v="1"/>
    <x v="230"/>
    <x v="1"/>
    <s v="Oklahoma"/>
    <s v="Oklahoma City"/>
    <x v="4"/>
    <n v="0.35000000000000003"/>
    <n v="2500"/>
    <x v="622"/>
    <n v="306.25"/>
    <n v="0.35"/>
  </r>
  <r>
    <x v="1"/>
    <x v="1"/>
    <x v="230"/>
    <x v="1"/>
    <s v="Oklahoma"/>
    <s v="Oklahoma City"/>
    <x v="5"/>
    <n v="0.25000000000000006"/>
    <n v="3500"/>
    <x v="504"/>
    <n v="306.25000000000006"/>
    <n v="0.35"/>
  </r>
  <r>
    <x v="1"/>
    <x v="1"/>
    <x v="231"/>
    <x v="1"/>
    <s v="Oklahoma"/>
    <s v="Oklahoma City"/>
    <x v="0"/>
    <n v="0.25000000000000006"/>
    <n v="6000"/>
    <x v="192"/>
    <n v="525"/>
    <n v="0.35"/>
  </r>
  <r>
    <x v="1"/>
    <x v="1"/>
    <x v="231"/>
    <x v="1"/>
    <s v="Oklahoma"/>
    <s v="Oklahoma City"/>
    <x v="1"/>
    <n v="0.25000000000000006"/>
    <n v="2500"/>
    <x v="472"/>
    <n v="218.75000000000003"/>
    <n v="0.35"/>
  </r>
  <r>
    <x v="1"/>
    <x v="1"/>
    <x v="231"/>
    <x v="1"/>
    <s v="Oklahoma"/>
    <s v="Oklahoma City"/>
    <x v="2"/>
    <n v="0.15000000000000008"/>
    <n v="3000"/>
    <x v="675"/>
    <n v="157.50000000000006"/>
    <n v="0.35"/>
  </r>
  <r>
    <x v="1"/>
    <x v="1"/>
    <x v="231"/>
    <x v="1"/>
    <s v="Oklahoma"/>
    <s v="Oklahoma City"/>
    <x v="3"/>
    <n v="0.2"/>
    <n v="1500"/>
    <x v="178"/>
    <n v="105"/>
    <n v="0.35"/>
  </r>
  <r>
    <x v="1"/>
    <x v="1"/>
    <x v="231"/>
    <x v="1"/>
    <s v="Oklahoma"/>
    <s v="Oklahoma City"/>
    <x v="4"/>
    <n v="0.35000000000000003"/>
    <n v="2250"/>
    <x v="121"/>
    <n v="275.625"/>
    <n v="0.35"/>
  </r>
  <r>
    <x v="1"/>
    <x v="1"/>
    <x v="231"/>
    <x v="1"/>
    <s v="Oklahoma"/>
    <s v="Oklahoma City"/>
    <x v="5"/>
    <n v="0.2"/>
    <n v="3250"/>
    <x v="406"/>
    <n v="227.49999999999997"/>
    <n v="0.35"/>
  </r>
  <r>
    <x v="1"/>
    <x v="1"/>
    <x v="92"/>
    <x v="1"/>
    <s v="Oklahoma"/>
    <s v="Oklahoma City"/>
    <x v="0"/>
    <n v="0.2"/>
    <n v="5450"/>
    <x v="676"/>
    <n v="381.5"/>
    <n v="0.35"/>
  </r>
  <r>
    <x v="1"/>
    <x v="1"/>
    <x v="92"/>
    <x v="1"/>
    <s v="Oklahoma"/>
    <s v="Oklahoma City"/>
    <x v="1"/>
    <n v="0.2"/>
    <n v="2250"/>
    <x v="185"/>
    <n v="157.5"/>
    <n v="0.35"/>
  </r>
  <r>
    <x v="1"/>
    <x v="1"/>
    <x v="92"/>
    <x v="1"/>
    <s v="Oklahoma"/>
    <s v="Oklahoma City"/>
    <x v="2"/>
    <n v="0.10000000000000002"/>
    <n v="2500"/>
    <x v="677"/>
    <n v="87.500000000000014"/>
    <n v="0.35"/>
  </r>
  <r>
    <x v="1"/>
    <x v="1"/>
    <x v="92"/>
    <x v="1"/>
    <s v="Oklahoma"/>
    <s v="Oklahoma City"/>
    <x v="3"/>
    <n v="0.19999999999999996"/>
    <n v="1000"/>
    <x v="678"/>
    <n v="69.999999999999972"/>
    <n v="0.35"/>
  </r>
  <r>
    <x v="1"/>
    <x v="1"/>
    <x v="92"/>
    <x v="1"/>
    <s v="Oklahoma"/>
    <s v="Oklahoma City"/>
    <x v="4"/>
    <n v="0.35000000000000009"/>
    <n v="1500"/>
    <x v="314"/>
    <n v="183.75000000000003"/>
    <n v="0.35"/>
  </r>
  <r>
    <x v="1"/>
    <x v="1"/>
    <x v="92"/>
    <x v="1"/>
    <s v="Oklahoma"/>
    <s v="Oklahoma City"/>
    <x v="5"/>
    <n v="0.25"/>
    <n v="2500"/>
    <x v="143"/>
    <n v="218.75"/>
    <n v="0.35"/>
  </r>
  <r>
    <x v="1"/>
    <x v="1"/>
    <x v="93"/>
    <x v="1"/>
    <s v="Oklahoma"/>
    <s v="Oklahoma City"/>
    <x v="0"/>
    <n v="0.25"/>
    <n v="5000"/>
    <x v="142"/>
    <n v="437.5"/>
    <n v="0.35"/>
  </r>
  <r>
    <x v="1"/>
    <x v="1"/>
    <x v="93"/>
    <x v="1"/>
    <s v="Oklahoma"/>
    <s v="Oklahoma City"/>
    <x v="1"/>
    <n v="0.25"/>
    <n v="2000"/>
    <x v="118"/>
    <n v="175"/>
    <n v="0.35"/>
  </r>
  <r>
    <x v="1"/>
    <x v="1"/>
    <x v="93"/>
    <x v="1"/>
    <s v="Oklahoma"/>
    <s v="Oklahoma City"/>
    <x v="2"/>
    <n v="0.15000000000000002"/>
    <n v="2000"/>
    <x v="309"/>
    <n v="105.00000000000001"/>
    <n v="0.35"/>
  </r>
  <r>
    <x v="1"/>
    <x v="1"/>
    <x v="93"/>
    <x v="1"/>
    <s v="Oklahoma"/>
    <s v="Oklahoma City"/>
    <x v="3"/>
    <n v="0.19999999999999996"/>
    <n v="1250"/>
    <x v="660"/>
    <n v="87.499999999999972"/>
    <n v="0.35"/>
  </r>
  <r>
    <x v="1"/>
    <x v="1"/>
    <x v="93"/>
    <x v="1"/>
    <s v="Oklahoma"/>
    <s v="Oklahoma City"/>
    <x v="4"/>
    <n v="0.4"/>
    <n v="1500"/>
    <x v="128"/>
    <n v="210"/>
    <n v="0.35"/>
  </r>
  <r>
    <x v="1"/>
    <x v="1"/>
    <x v="93"/>
    <x v="1"/>
    <s v="Oklahoma"/>
    <s v="Oklahoma City"/>
    <x v="5"/>
    <n v="0.30000000000000004"/>
    <n v="3000"/>
    <x v="395"/>
    <n v="315"/>
    <n v="0.35"/>
  </r>
  <r>
    <x v="1"/>
    <x v="1"/>
    <x v="120"/>
    <x v="1"/>
    <s v="Oklahoma"/>
    <s v="Oklahoma City"/>
    <x v="0"/>
    <n v="0.4"/>
    <n v="5700"/>
    <x v="679"/>
    <n v="798"/>
    <n v="0.35"/>
  </r>
  <r>
    <x v="1"/>
    <x v="1"/>
    <x v="120"/>
    <x v="1"/>
    <s v="Oklahoma"/>
    <s v="Oklahoma City"/>
    <x v="1"/>
    <n v="0.4"/>
    <n v="2750"/>
    <x v="130"/>
    <n v="385"/>
    <n v="0.35"/>
  </r>
  <r>
    <x v="1"/>
    <x v="1"/>
    <x v="120"/>
    <x v="1"/>
    <s v="Oklahoma"/>
    <s v="Oklahoma City"/>
    <x v="2"/>
    <n v="0.35000000000000003"/>
    <n v="2500"/>
    <x v="622"/>
    <n v="306.25"/>
    <n v="0.35"/>
  </r>
  <r>
    <x v="1"/>
    <x v="1"/>
    <x v="120"/>
    <x v="1"/>
    <s v="Oklahoma"/>
    <s v="Oklahoma City"/>
    <x v="3"/>
    <n v="0.35000000000000003"/>
    <n v="2000"/>
    <x v="320"/>
    <n v="245.00000000000003"/>
    <n v="0.35"/>
  </r>
  <r>
    <x v="1"/>
    <x v="1"/>
    <x v="120"/>
    <x v="1"/>
    <s v="Oklahoma"/>
    <s v="Oklahoma City"/>
    <x v="4"/>
    <n v="0.44999999999999996"/>
    <n v="2250"/>
    <x v="680"/>
    <n v="354.37499999999994"/>
    <n v="0.35"/>
  </r>
  <r>
    <x v="1"/>
    <x v="1"/>
    <x v="120"/>
    <x v="1"/>
    <s v="Oklahoma"/>
    <s v="Oklahoma City"/>
    <x v="5"/>
    <n v="0.44999999999999996"/>
    <n v="3250"/>
    <x v="199"/>
    <n v="511.87499999999989"/>
    <n v="0.35"/>
  </r>
  <r>
    <x v="1"/>
    <x v="1"/>
    <x v="232"/>
    <x v="1"/>
    <s v="Oklahoma"/>
    <s v="Oklahoma City"/>
    <x v="0"/>
    <n v="0.39999999999999997"/>
    <n v="5750"/>
    <x v="336"/>
    <n v="805"/>
    <n v="0.35"/>
  </r>
  <r>
    <x v="1"/>
    <x v="1"/>
    <x v="232"/>
    <x v="1"/>
    <s v="Oklahoma"/>
    <s v="Oklahoma City"/>
    <x v="1"/>
    <n v="0.35000000000000003"/>
    <n v="3250"/>
    <x v="165"/>
    <n v="398.125"/>
    <n v="0.35"/>
  </r>
  <r>
    <x v="1"/>
    <x v="1"/>
    <x v="232"/>
    <x v="1"/>
    <s v="Oklahoma"/>
    <s v="Oklahoma City"/>
    <x v="2"/>
    <n v="0.4"/>
    <n v="3000"/>
    <x v="147"/>
    <n v="420"/>
    <n v="0.35"/>
  </r>
  <r>
    <x v="1"/>
    <x v="1"/>
    <x v="232"/>
    <x v="1"/>
    <s v="Oklahoma"/>
    <s v="Oklahoma City"/>
    <x v="3"/>
    <n v="0.4"/>
    <n v="2750"/>
    <x v="130"/>
    <n v="385"/>
    <n v="0.35"/>
  </r>
  <r>
    <x v="1"/>
    <x v="1"/>
    <x v="232"/>
    <x v="1"/>
    <s v="Oklahoma"/>
    <s v="Oklahoma City"/>
    <x v="4"/>
    <n v="0.54999999999999993"/>
    <n v="2750"/>
    <x v="409"/>
    <n v="529.37499999999989"/>
    <n v="0.35"/>
  </r>
  <r>
    <x v="1"/>
    <x v="1"/>
    <x v="232"/>
    <x v="1"/>
    <s v="Oklahoma"/>
    <s v="Oklahoma City"/>
    <x v="5"/>
    <n v="0.6"/>
    <n v="4500"/>
    <x v="52"/>
    <n v="944.99999999999989"/>
    <n v="0.35"/>
  </r>
  <r>
    <x v="1"/>
    <x v="1"/>
    <x v="96"/>
    <x v="1"/>
    <s v="Oklahoma"/>
    <s v="Oklahoma City"/>
    <x v="0"/>
    <n v="0.54999999999999993"/>
    <n v="6750"/>
    <x v="353"/>
    <n v="1299.3749999999998"/>
    <n v="0.35"/>
  </r>
  <r>
    <x v="1"/>
    <x v="1"/>
    <x v="96"/>
    <x v="1"/>
    <s v="Oklahoma"/>
    <s v="Oklahoma City"/>
    <x v="1"/>
    <n v="0.5"/>
    <n v="4250"/>
    <x v="43"/>
    <n v="743.75"/>
    <n v="0.35"/>
  </r>
  <r>
    <x v="1"/>
    <x v="1"/>
    <x v="96"/>
    <x v="1"/>
    <s v="Oklahoma"/>
    <s v="Oklahoma City"/>
    <x v="2"/>
    <n v="0.45"/>
    <n v="3500"/>
    <x v="151"/>
    <n v="551.25"/>
    <n v="0.35"/>
  </r>
  <r>
    <x v="1"/>
    <x v="1"/>
    <x v="96"/>
    <x v="1"/>
    <s v="Oklahoma"/>
    <s v="Oklahoma City"/>
    <x v="3"/>
    <n v="0.45"/>
    <n v="3000"/>
    <x v="198"/>
    <n v="472.49999999999994"/>
    <n v="0.35"/>
  </r>
  <r>
    <x v="1"/>
    <x v="1"/>
    <x v="96"/>
    <x v="1"/>
    <s v="Oklahoma"/>
    <s v="Oklahoma City"/>
    <x v="4"/>
    <n v="0.6"/>
    <n v="3250"/>
    <x v="212"/>
    <n v="682.5"/>
    <n v="0.35"/>
  </r>
  <r>
    <x v="1"/>
    <x v="1"/>
    <x v="96"/>
    <x v="1"/>
    <s v="Oklahoma"/>
    <s v="Oklahoma City"/>
    <x v="5"/>
    <n v="0.65"/>
    <n v="5000"/>
    <x v="82"/>
    <n v="1137.5"/>
    <n v="0.35"/>
  </r>
  <r>
    <x v="1"/>
    <x v="1"/>
    <x v="97"/>
    <x v="1"/>
    <s v="Oklahoma"/>
    <s v="Oklahoma City"/>
    <x v="0"/>
    <n v="0.6"/>
    <n v="6500"/>
    <x v="87"/>
    <n v="1365"/>
    <n v="0.35"/>
  </r>
  <r>
    <x v="1"/>
    <x v="1"/>
    <x v="97"/>
    <x v="1"/>
    <s v="Oklahoma"/>
    <s v="Oklahoma City"/>
    <x v="1"/>
    <n v="0.55000000000000004"/>
    <n v="4250"/>
    <x v="256"/>
    <n v="818.125"/>
    <n v="0.35"/>
  </r>
  <r>
    <x v="1"/>
    <x v="1"/>
    <x v="97"/>
    <x v="1"/>
    <s v="Oklahoma"/>
    <s v="Oklahoma City"/>
    <x v="2"/>
    <n v="0.5"/>
    <n v="3500"/>
    <x v="157"/>
    <n v="612.5"/>
    <n v="0.35"/>
  </r>
  <r>
    <x v="1"/>
    <x v="1"/>
    <x v="97"/>
    <x v="1"/>
    <s v="Oklahoma"/>
    <s v="Oklahoma City"/>
    <x v="3"/>
    <n v="0.4"/>
    <n v="3000"/>
    <x v="147"/>
    <n v="420"/>
    <n v="0.35"/>
  </r>
  <r>
    <x v="1"/>
    <x v="1"/>
    <x v="97"/>
    <x v="1"/>
    <s v="Oklahoma"/>
    <s v="Oklahoma City"/>
    <x v="4"/>
    <n v="0.5"/>
    <n v="2750"/>
    <x v="140"/>
    <n v="481.24999999999994"/>
    <n v="0.35"/>
  </r>
  <r>
    <x v="1"/>
    <x v="1"/>
    <x v="97"/>
    <x v="1"/>
    <s v="Oklahoma"/>
    <s v="Oklahoma City"/>
    <x v="5"/>
    <n v="0.55000000000000004"/>
    <n v="4500"/>
    <x v="111"/>
    <n v="866.25"/>
    <n v="0.35"/>
  </r>
  <r>
    <x v="1"/>
    <x v="1"/>
    <x v="122"/>
    <x v="1"/>
    <s v="Oklahoma"/>
    <s v="Oklahoma City"/>
    <x v="0"/>
    <n v="0.5"/>
    <n v="5500"/>
    <x v="80"/>
    <n v="962.49999999999989"/>
    <n v="0.35"/>
  </r>
  <r>
    <x v="1"/>
    <x v="1"/>
    <x v="122"/>
    <x v="1"/>
    <s v="Oklahoma"/>
    <s v="Oklahoma City"/>
    <x v="1"/>
    <n v="0.40000000000000013"/>
    <n v="3500"/>
    <x v="681"/>
    <n v="490.00000000000011"/>
    <n v="0.35"/>
  </r>
  <r>
    <x v="1"/>
    <x v="1"/>
    <x v="122"/>
    <x v="1"/>
    <s v="Oklahoma"/>
    <s v="Oklahoma City"/>
    <x v="2"/>
    <n v="0.15000000000000008"/>
    <n v="2500"/>
    <x v="667"/>
    <n v="131.25000000000006"/>
    <n v="0.35"/>
  </r>
  <r>
    <x v="1"/>
    <x v="1"/>
    <x v="122"/>
    <x v="1"/>
    <s v="Oklahoma"/>
    <s v="Oklahoma City"/>
    <x v="3"/>
    <n v="0.15000000000000008"/>
    <n v="2250"/>
    <x v="682"/>
    <n v="118.12500000000006"/>
    <n v="0.35"/>
  </r>
  <r>
    <x v="1"/>
    <x v="1"/>
    <x v="122"/>
    <x v="1"/>
    <s v="Oklahoma"/>
    <s v="Oklahoma City"/>
    <x v="4"/>
    <n v="0.25000000000000006"/>
    <n v="2250"/>
    <x v="469"/>
    <n v="196.87500000000003"/>
    <n v="0.35"/>
  </r>
  <r>
    <x v="1"/>
    <x v="1"/>
    <x v="122"/>
    <x v="1"/>
    <s v="Oklahoma"/>
    <s v="Oklahoma City"/>
    <x v="5"/>
    <n v="0.3000000000000001"/>
    <n v="3250"/>
    <x v="683"/>
    <n v="341.25000000000011"/>
    <n v="0.35"/>
  </r>
  <r>
    <x v="1"/>
    <x v="1"/>
    <x v="233"/>
    <x v="1"/>
    <s v="Oklahoma"/>
    <s v="Oklahoma City"/>
    <x v="0"/>
    <n v="0.3000000000000001"/>
    <n v="5000"/>
    <x v="665"/>
    <n v="525.00000000000011"/>
    <n v="0.35"/>
  </r>
  <r>
    <x v="1"/>
    <x v="1"/>
    <x v="233"/>
    <x v="1"/>
    <s v="Oklahoma"/>
    <s v="Oklahoma City"/>
    <x v="1"/>
    <n v="0.20000000000000012"/>
    <n v="3250"/>
    <x v="684"/>
    <n v="227.50000000000011"/>
    <n v="0.35"/>
  </r>
  <r>
    <x v="1"/>
    <x v="1"/>
    <x v="233"/>
    <x v="1"/>
    <s v="Oklahoma"/>
    <s v="Oklahoma City"/>
    <x v="2"/>
    <n v="0.20000000000000012"/>
    <n v="2000"/>
    <x v="670"/>
    <n v="140.00000000000006"/>
    <n v="0.35"/>
  </r>
  <r>
    <x v="1"/>
    <x v="1"/>
    <x v="233"/>
    <x v="1"/>
    <s v="Oklahoma"/>
    <s v="Oklahoma City"/>
    <x v="3"/>
    <n v="0.20000000000000012"/>
    <n v="1750"/>
    <x v="685"/>
    <n v="122.50000000000007"/>
    <n v="0.35"/>
  </r>
  <r>
    <x v="1"/>
    <x v="1"/>
    <x v="233"/>
    <x v="1"/>
    <s v="Oklahoma"/>
    <s v="Oklahoma City"/>
    <x v="4"/>
    <n v="0.3000000000000001"/>
    <n v="1750"/>
    <x v="648"/>
    <n v="183.75000000000006"/>
    <n v="0.35"/>
  </r>
  <r>
    <x v="1"/>
    <x v="1"/>
    <x v="233"/>
    <x v="1"/>
    <s v="Oklahoma"/>
    <s v="Oklahoma City"/>
    <x v="5"/>
    <n v="0.30000000000000004"/>
    <n v="3000"/>
    <x v="395"/>
    <n v="315"/>
    <n v="0.35"/>
  </r>
  <r>
    <x v="1"/>
    <x v="1"/>
    <x v="100"/>
    <x v="1"/>
    <s v="Oklahoma"/>
    <s v="Oklahoma City"/>
    <x v="0"/>
    <n v="0.25000000000000011"/>
    <n v="4500"/>
    <x v="531"/>
    <n v="393.75000000000011"/>
    <n v="0.35"/>
  </r>
  <r>
    <x v="1"/>
    <x v="1"/>
    <x v="100"/>
    <x v="1"/>
    <s v="Oklahoma"/>
    <s v="Oklahoma City"/>
    <x v="1"/>
    <n v="0.15000000000000013"/>
    <n v="2750"/>
    <x v="686"/>
    <n v="144.37500000000011"/>
    <n v="0.35"/>
  </r>
  <r>
    <x v="1"/>
    <x v="1"/>
    <x v="100"/>
    <x v="1"/>
    <s v="Oklahoma"/>
    <s v="Oklahoma City"/>
    <x v="2"/>
    <n v="0.25000000000000017"/>
    <n v="2200"/>
    <x v="650"/>
    <n v="192.50000000000011"/>
    <n v="0.35"/>
  </r>
  <r>
    <x v="1"/>
    <x v="1"/>
    <x v="100"/>
    <x v="1"/>
    <s v="Oklahoma"/>
    <s v="Oklahoma City"/>
    <x v="3"/>
    <n v="0.55000000000000016"/>
    <n v="2750"/>
    <x v="687"/>
    <n v="529.37500000000011"/>
    <n v="0.35"/>
  </r>
  <r>
    <x v="1"/>
    <x v="1"/>
    <x v="100"/>
    <x v="1"/>
    <s v="Oklahoma"/>
    <s v="Oklahoma City"/>
    <x v="4"/>
    <n v="0.75000000000000011"/>
    <n v="2500"/>
    <x v="528"/>
    <n v="656.25"/>
    <n v="0.35"/>
  </r>
  <r>
    <x v="1"/>
    <x v="1"/>
    <x v="100"/>
    <x v="1"/>
    <s v="Oklahoma"/>
    <s v="Oklahoma City"/>
    <x v="5"/>
    <n v="0.75"/>
    <n v="3500"/>
    <x v="48"/>
    <n v="918.74999999999989"/>
    <n v="0.35"/>
  </r>
  <r>
    <x v="1"/>
    <x v="1"/>
    <x v="101"/>
    <x v="1"/>
    <s v="Oklahoma"/>
    <s v="Oklahoma City"/>
    <x v="0"/>
    <n v="0.70000000000000007"/>
    <n v="6000"/>
    <x v="81"/>
    <n v="1470"/>
    <n v="0.35"/>
  </r>
  <r>
    <x v="1"/>
    <x v="1"/>
    <x v="101"/>
    <x v="1"/>
    <s v="Oklahoma"/>
    <s v="Oklahoma City"/>
    <x v="1"/>
    <n v="0.60000000000000009"/>
    <n v="4000"/>
    <x v="218"/>
    <n v="840.00000000000011"/>
    <n v="0.35"/>
  </r>
  <r>
    <x v="1"/>
    <x v="1"/>
    <x v="101"/>
    <x v="1"/>
    <s v="Oklahoma"/>
    <s v="Oklahoma City"/>
    <x v="2"/>
    <n v="0.60000000000000009"/>
    <n v="3500"/>
    <x v="162"/>
    <n v="735.00000000000011"/>
    <n v="0.35"/>
  </r>
  <r>
    <x v="1"/>
    <x v="1"/>
    <x v="101"/>
    <x v="1"/>
    <s v="Oklahoma"/>
    <s v="Oklahoma City"/>
    <x v="3"/>
    <n v="0.60000000000000009"/>
    <n v="3000"/>
    <x v="166"/>
    <n v="630"/>
    <n v="0.35"/>
  </r>
  <r>
    <x v="1"/>
    <x v="1"/>
    <x v="101"/>
    <x v="1"/>
    <s v="Oklahoma"/>
    <s v="Oklahoma City"/>
    <x v="4"/>
    <n v="0.70000000000000007"/>
    <n v="3000"/>
    <x v="193"/>
    <n v="735"/>
    <n v="0.35"/>
  </r>
  <r>
    <x v="1"/>
    <x v="1"/>
    <x v="101"/>
    <x v="1"/>
    <s v="Oklahoma"/>
    <s v="Oklahoma City"/>
    <x v="5"/>
    <n v="0.75"/>
    <n v="4000"/>
    <x v="61"/>
    <n v="1050"/>
    <n v="0.35"/>
  </r>
  <r>
    <x v="0"/>
    <x v="0"/>
    <x v="78"/>
    <x v="3"/>
    <s v="Kansas"/>
    <s v="Wichita"/>
    <x v="0"/>
    <n v="0.4"/>
    <n v="4750"/>
    <x v="235"/>
    <n v="665"/>
    <n v="0.35"/>
  </r>
  <r>
    <x v="0"/>
    <x v="0"/>
    <x v="78"/>
    <x v="3"/>
    <s v="Kansas"/>
    <s v="Wichita"/>
    <x v="1"/>
    <n v="0.4"/>
    <n v="2750"/>
    <x v="130"/>
    <n v="330"/>
    <n v="0.3"/>
  </r>
  <r>
    <x v="0"/>
    <x v="0"/>
    <x v="78"/>
    <x v="3"/>
    <s v="Kansas"/>
    <s v="Wichita"/>
    <x v="2"/>
    <n v="0.30000000000000004"/>
    <n v="2750"/>
    <x v="188"/>
    <n v="247.50000000000003"/>
    <n v="0.3"/>
  </r>
  <r>
    <x v="0"/>
    <x v="0"/>
    <x v="78"/>
    <x v="3"/>
    <s v="Kansas"/>
    <s v="Wichita"/>
    <x v="3"/>
    <n v="0.35000000000000003"/>
    <n v="1250"/>
    <x v="620"/>
    <n v="131.25"/>
    <n v="0.3"/>
  </r>
  <r>
    <x v="0"/>
    <x v="0"/>
    <x v="78"/>
    <x v="3"/>
    <s v="Kansas"/>
    <s v="Wichita"/>
    <x v="4"/>
    <n v="0.49999999999999994"/>
    <n v="1750"/>
    <x v="688"/>
    <n v="306.24999999999994"/>
    <n v="0.35"/>
  </r>
  <r>
    <x v="0"/>
    <x v="0"/>
    <x v="78"/>
    <x v="3"/>
    <s v="Kansas"/>
    <s v="Wichita"/>
    <x v="5"/>
    <n v="0.4"/>
    <n v="2750"/>
    <x v="130"/>
    <n v="440"/>
    <n v="0.4"/>
  </r>
  <r>
    <x v="0"/>
    <x v="0"/>
    <x v="1"/>
    <x v="3"/>
    <s v="Kansas"/>
    <s v="Wichita"/>
    <x v="0"/>
    <n v="0.4"/>
    <n v="5250"/>
    <x v="193"/>
    <n v="735"/>
    <n v="0.35"/>
  </r>
  <r>
    <x v="0"/>
    <x v="0"/>
    <x v="1"/>
    <x v="3"/>
    <s v="Kansas"/>
    <s v="Wichita"/>
    <x v="1"/>
    <n v="0.4"/>
    <n v="1750"/>
    <x v="135"/>
    <n v="210"/>
    <n v="0.3"/>
  </r>
  <r>
    <x v="0"/>
    <x v="0"/>
    <x v="1"/>
    <x v="3"/>
    <s v="Kansas"/>
    <s v="Wichita"/>
    <x v="2"/>
    <n v="0.30000000000000004"/>
    <n v="2250"/>
    <x v="318"/>
    <n v="202.50000000000003"/>
    <n v="0.3"/>
  </r>
  <r>
    <x v="0"/>
    <x v="0"/>
    <x v="1"/>
    <x v="3"/>
    <s v="Kansas"/>
    <s v="Wichita"/>
    <x v="3"/>
    <n v="0.35000000000000003"/>
    <n v="1000"/>
    <x v="367"/>
    <n v="105.00000000000001"/>
    <n v="0.3"/>
  </r>
  <r>
    <x v="0"/>
    <x v="0"/>
    <x v="1"/>
    <x v="3"/>
    <s v="Kansas"/>
    <s v="Wichita"/>
    <x v="4"/>
    <n v="0.49999999999999994"/>
    <n v="1750"/>
    <x v="688"/>
    <n v="306.24999999999994"/>
    <n v="0.35"/>
  </r>
  <r>
    <x v="0"/>
    <x v="0"/>
    <x v="1"/>
    <x v="3"/>
    <s v="Kansas"/>
    <s v="Wichita"/>
    <x v="5"/>
    <n v="0.35"/>
    <n v="2750"/>
    <x v="119"/>
    <n v="385"/>
    <n v="0.4"/>
  </r>
  <r>
    <x v="0"/>
    <x v="0"/>
    <x v="234"/>
    <x v="3"/>
    <s v="Kansas"/>
    <s v="Wichita"/>
    <x v="0"/>
    <n v="0.4"/>
    <n v="4950"/>
    <x v="689"/>
    <n v="693"/>
    <n v="0.35"/>
  </r>
  <r>
    <x v="0"/>
    <x v="0"/>
    <x v="234"/>
    <x v="3"/>
    <s v="Kansas"/>
    <s v="Wichita"/>
    <x v="1"/>
    <n v="0.4"/>
    <n v="2000"/>
    <x v="134"/>
    <n v="240"/>
    <n v="0.3"/>
  </r>
  <r>
    <x v="0"/>
    <x v="0"/>
    <x v="234"/>
    <x v="3"/>
    <s v="Kansas"/>
    <s v="Wichita"/>
    <x v="2"/>
    <n v="0.30000000000000004"/>
    <n v="2250"/>
    <x v="318"/>
    <n v="202.50000000000003"/>
    <n v="0.3"/>
  </r>
  <r>
    <x v="0"/>
    <x v="0"/>
    <x v="234"/>
    <x v="3"/>
    <s v="Kansas"/>
    <s v="Wichita"/>
    <x v="3"/>
    <n v="0.35"/>
    <n v="750"/>
    <x v="327"/>
    <n v="78.75"/>
    <n v="0.3"/>
  </r>
  <r>
    <x v="0"/>
    <x v="0"/>
    <x v="234"/>
    <x v="3"/>
    <s v="Kansas"/>
    <s v="Wichita"/>
    <x v="4"/>
    <n v="0.5"/>
    <n v="1250"/>
    <x v="143"/>
    <n v="218.75"/>
    <n v="0.35"/>
  </r>
  <r>
    <x v="0"/>
    <x v="0"/>
    <x v="234"/>
    <x v="3"/>
    <s v="Kansas"/>
    <s v="Wichita"/>
    <x v="5"/>
    <n v="0.4"/>
    <n v="2250"/>
    <x v="124"/>
    <n v="360"/>
    <n v="0.4"/>
  </r>
  <r>
    <x v="0"/>
    <x v="0"/>
    <x v="235"/>
    <x v="3"/>
    <s v="Kansas"/>
    <s v="Wichita"/>
    <x v="0"/>
    <n v="0.4"/>
    <n v="4500"/>
    <x v="207"/>
    <n v="630"/>
    <n v="0.35"/>
  </r>
  <r>
    <x v="0"/>
    <x v="0"/>
    <x v="235"/>
    <x v="3"/>
    <s v="Kansas"/>
    <s v="Wichita"/>
    <x v="1"/>
    <n v="0.4"/>
    <n v="1500"/>
    <x v="128"/>
    <n v="180"/>
    <n v="0.3"/>
  </r>
  <r>
    <x v="0"/>
    <x v="0"/>
    <x v="235"/>
    <x v="3"/>
    <s v="Kansas"/>
    <s v="Wichita"/>
    <x v="2"/>
    <n v="0.30000000000000004"/>
    <n v="1500"/>
    <x v="362"/>
    <n v="135"/>
    <n v="0.3"/>
  </r>
  <r>
    <x v="0"/>
    <x v="0"/>
    <x v="235"/>
    <x v="3"/>
    <s v="Kansas"/>
    <s v="Wichita"/>
    <x v="3"/>
    <n v="0.35"/>
    <n v="750"/>
    <x v="327"/>
    <n v="78.75"/>
    <n v="0.3"/>
  </r>
  <r>
    <x v="0"/>
    <x v="0"/>
    <x v="235"/>
    <x v="3"/>
    <s v="Kansas"/>
    <s v="Wichita"/>
    <x v="4"/>
    <n v="0.6"/>
    <n v="1000"/>
    <x v="128"/>
    <n v="210"/>
    <n v="0.35"/>
  </r>
  <r>
    <x v="0"/>
    <x v="0"/>
    <x v="235"/>
    <x v="3"/>
    <s v="Kansas"/>
    <s v="Wichita"/>
    <x v="5"/>
    <n v="0.5"/>
    <n v="2250"/>
    <x v="127"/>
    <n v="450"/>
    <n v="0.4"/>
  </r>
  <r>
    <x v="0"/>
    <x v="0"/>
    <x v="236"/>
    <x v="3"/>
    <s v="Kansas"/>
    <s v="Wichita"/>
    <x v="0"/>
    <n v="0.6"/>
    <n v="4950"/>
    <x v="129"/>
    <n v="1039.5"/>
    <n v="0.35"/>
  </r>
  <r>
    <x v="0"/>
    <x v="0"/>
    <x v="236"/>
    <x v="3"/>
    <s v="Kansas"/>
    <s v="Wichita"/>
    <x v="1"/>
    <n v="0.5"/>
    <n v="2000"/>
    <x v="123"/>
    <n v="300"/>
    <n v="0.3"/>
  </r>
  <r>
    <x v="0"/>
    <x v="0"/>
    <x v="236"/>
    <x v="3"/>
    <s v="Kansas"/>
    <s v="Wichita"/>
    <x v="2"/>
    <n v="0.45"/>
    <n v="1750"/>
    <x v="120"/>
    <n v="236.25"/>
    <n v="0.3"/>
  </r>
  <r>
    <x v="0"/>
    <x v="0"/>
    <x v="236"/>
    <x v="3"/>
    <s v="Kansas"/>
    <s v="Wichita"/>
    <x v="3"/>
    <n v="0.45"/>
    <n v="1000"/>
    <x v="185"/>
    <n v="135"/>
    <n v="0.3"/>
  </r>
  <r>
    <x v="0"/>
    <x v="0"/>
    <x v="236"/>
    <x v="3"/>
    <s v="Kansas"/>
    <s v="Wichita"/>
    <x v="4"/>
    <n v="0.54999999999999993"/>
    <n v="1250"/>
    <x v="179"/>
    <n v="240.62499999999994"/>
    <n v="0.35"/>
  </r>
  <r>
    <x v="0"/>
    <x v="0"/>
    <x v="236"/>
    <x v="3"/>
    <s v="Kansas"/>
    <s v="Wichita"/>
    <x v="5"/>
    <n v="0.6"/>
    <n v="2500"/>
    <x v="146"/>
    <n v="600"/>
    <n v="0.4"/>
  </r>
  <r>
    <x v="0"/>
    <x v="0"/>
    <x v="5"/>
    <x v="3"/>
    <s v="Kansas"/>
    <s v="Wichita"/>
    <x v="0"/>
    <n v="0.45"/>
    <n v="5000"/>
    <x v="39"/>
    <n v="787.5"/>
    <n v="0.35"/>
  </r>
  <r>
    <x v="0"/>
    <x v="0"/>
    <x v="5"/>
    <x v="3"/>
    <s v="Kansas"/>
    <s v="Wichita"/>
    <x v="1"/>
    <n v="0.40000000000000008"/>
    <n v="2500"/>
    <x v="322"/>
    <n v="300.00000000000006"/>
    <n v="0.3"/>
  </r>
  <r>
    <x v="0"/>
    <x v="0"/>
    <x v="5"/>
    <x v="3"/>
    <s v="Kansas"/>
    <s v="Wichita"/>
    <x v="2"/>
    <n v="0.35000000000000003"/>
    <n v="2000"/>
    <x v="320"/>
    <n v="210.00000000000003"/>
    <n v="0.3"/>
  </r>
  <r>
    <x v="0"/>
    <x v="0"/>
    <x v="5"/>
    <x v="3"/>
    <s v="Kansas"/>
    <s v="Wichita"/>
    <x v="3"/>
    <n v="0.35000000000000003"/>
    <n v="1750"/>
    <x v="181"/>
    <n v="183.75000000000003"/>
    <n v="0.3"/>
  </r>
  <r>
    <x v="0"/>
    <x v="0"/>
    <x v="5"/>
    <x v="3"/>
    <s v="Kansas"/>
    <s v="Wichita"/>
    <x v="4"/>
    <n v="0.45"/>
    <n v="1750"/>
    <x v="120"/>
    <n v="275.625"/>
    <n v="0.35"/>
  </r>
  <r>
    <x v="0"/>
    <x v="0"/>
    <x v="5"/>
    <x v="3"/>
    <s v="Kansas"/>
    <s v="Wichita"/>
    <x v="5"/>
    <n v="0.55000000000000004"/>
    <n v="3250"/>
    <x v="255"/>
    <n v="715.00000000000011"/>
    <n v="0.4"/>
  </r>
  <r>
    <x v="0"/>
    <x v="0"/>
    <x v="237"/>
    <x v="3"/>
    <s v="Kansas"/>
    <s v="Wichita"/>
    <x v="0"/>
    <n v="0.5"/>
    <n v="5500"/>
    <x v="80"/>
    <n v="962.49999999999989"/>
    <n v="0.35"/>
  </r>
  <r>
    <x v="0"/>
    <x v="0"/>
    <x v="237"/>
    <x v="3"/>
    <s v="Kansas"/>
    <s v="Wichita"/>
    <x v="1"/>
    <n v="0.45000000000000007"/>
    <n v="3000"/>
    <x v="139"/>
    <n v="405.00000000000006"/>
    <n v="0.3"/>
  </r>
  <r>
    <x v="0"/>
    <x v="0"/>
    <x v="237"/>
    <x v="3"/>
    <s v="Kansas"/>
    <s v="Wichita"/>
    <x v="2"/>
    <n v="0.4"/>
    <n v="2250"/>
    <x v="124"/>
    <n v="270"/>
    <n v="0.3"/>
  </r>
  <r>
    <x v="0"/>
    <x v="0"/>
    <x v="237"/>
    <x v="3"/>
    <s v="Kansas"/>
    <s v="Wichita"/>
    <x v="3"/>
    <n v="0.4"/>
    <n v="1750"/>
    <x v="135"/>
    <n v="210"/>
    <n v="0.3"/>
  </r>
  <r>
    <x v="0"/>
    <x v="0"/>
    <x v="237"/>
    <x v="3"/>
    <s v="Kansas"/>
    <s v="Wichita"/>
    <x v="4"/>
    <n v="0.5"/>
    <n v="2000"/>
    <x v="123"/>
    <n v="350"/>
    <n v="0.35"/>
  </r>
  <r>
    <x v="0"/>
    <x v="0"/>
    <x v="237"/>
    <x v="3"/>
    <s v="Kansas"/>
    <s v="Wichita"/>
    <x v="5"/>
    <n v="0.55000000000000004"/>
    <n v="3750"/>
    <x v="138"/>
    <n v="825"/>
    <n v="0.4"/>
  </r>
  <r>
    <x v="0"/>
    <x v="0"/>
    <x v="238"/>
    <x v="3"/>
    <s v="Kansas"/>
    <s v="Wichita"/>
    <x v="0"/>
    <n v="0.5"/>
    <n v="5250"/>
    <x v="48"/>
    <n v="918.74999999999989"/>
    <n v="0.35"/>
  </r>
  <r>
    <x v="0"/>
    <x v="0"/>
    <x v="238"/>
    <x v="3"/>
    <s v="Kansas"/>
    <s v="Wichita"/>
    <x v="1"/>
    <n v="0.45000000000000007"/>
    <n v="3000"/>
    <x v="139"/>
    <n v="405.00000000000006"/>
    <n v="0.3"/>
  </r>
  <r>
    <x v="0"/>
    <x v="0"/>
    <x v="238"/>
    <x v="3"/>
    <s v="Kansas"/>
    <s v="Wichita"/>
    <x v="2"/>
    <n v="0.4"/>
    <n v="2250"/>
    <x v="124"/>
    <n v="270"/>
    <n v="0.3"/>
  </r>
  <r>
    <x v="0"/>
    <x v="0"/>
    <x v="238"/>
    <x v="3"/>
    <s v="Kansas"/>
    <s v="Wichita"/>
    <x v="3"/>
    <n v="0.4"/>
    <n v="2000"/>
    <x v="134"/>
    <n v="240"/>
    <n v="0.3"/>
  </r>
  <r>
    <x v="0"/>
    <x v="0"/>
    <x v="238"/>
    <x v="3"/>
    <s v="Kansas"/>
    <s v="Wichita"/>
    <x v="4"/>
    <n v="0.5"/>
    <n v="1750"/>
    <x v="131"/>
    <n v="306.25"/>
    <n v="0.35"/>
  </r>
  <r>
    <x v="0"/>
    <x v="0"/>
    <x v="238"/>
    <x v="3"/>
    <s v="Kansas"/>
    <s v="Wichita"/>
    <x v="5"/>
    <n v="0.55000000000000004"/>
    <n v="3500"/>
    <x v="136"/>
    <n v="770.00000000000011"/>
    <n v="0.4"/>
  </r>
  <r>
    <x v="0"/>
    <x v="0"/>
    <x v="239"/>
    <x v="3"/>
    <s v="Kansas"/>
    <s v="Wichita"/>
    <x v="0"/>
    <n v="0.45"/>
    <n v="4750"/>
    <x v="115"/>
    <n v="748.125"/>
    <n v="0.35"/>
  </r>
  <r>
    <x v="0"/>
    <x v="0"/>
    <x v="239"/>
    <x v="3"/>
    <s v="Kansas"/>
    <s v="Wichita"/>
    <x v="1"/>
    <n v="0.40000000000000008"/>
    <n v="2750"/>
    <x v="544"/>
    <n v="330.00000000000006"/>
    <n v="0.3"/>
  </r>
  <r>
    <x v="0"/>
    <x v="0"/>
    <x v="239"/>
    <x v="3"/>
    <s v="Kansas"/>
    <s v="Wichita"/>
    <x v="2"/>
    <n v="0.35000000000000003"/>
    <n v="1750"/>
    <x v="181"/>
    <n v="183.75000000000003"/>
    <n v="0.3"/>
  </r>
  <r>
    <x v="0"/>
    <x v="0"/>
    <x v="239"/>
    <x v="3"/>
    <s v="Kansas"/>
    <s v="Wichita"/>
    <x v="3"/>
    <n v="0.35000000000000003"/>
    <n v="1500"/>
    <x v="311"/>
    <n v="157.5"/>
    <n v="0.3"/>
  </r>
  <r>
    <x v="0"/>
    <x v="0"/>
    <x v="239"/>
    <x v="3"/>
    <s v="Kansas"/>
    <s v="Wichita"/>
    <x v="4"/>
    <n v="0.45"/>
    <n v="1500"/>
    <x v="321"/>
    <n v="236.24999999999997"/>
    <n v="0.35"/>
  </r>
  <r>
    <x v="0"/>
    <x v="0"/>
    <x v="239"/>
    <x v="3"/>
    <s v="Kansas"/>
    <s v="Wichita"/>
    <x v="5"/>
    <n v="0.5"/>
    <n v="2250"/>
    <x v="127"/>
    <n v="450"/>
    <n v="0.4"/>
  </r>
  <r>
    <x v="0"/>
    <x v="0"/>
    <x v="9"/>
    <x v="3"/>
    <s v="Kansas"/>
    <s v="Wichita"/>
    <x v="0"/>
    <n v="0.54999999999999993"/>
    <n v="4000"/>
    <x v="208"/>
    <n v="769.99999999999977"/>
    <n v="0.35"/>
  </r>
  <r>
    <x v="0"/>
    <x v="0"/>
    <x v="9"/>
    <x v="3"/>
    <s v="Kansas"/>
    <s v="Wichita"/>
    <x v="1"/>
    <n v="0.45"/>
    <n v="2500"/>
    <x v="127"/>
    <n v="337.5"/>
    <n v="0.3"/>
  </r>
  <r>
    <x v="0"/>
    <x v="0"/>
    <x v="9"/>
    <x v="3"/>
    <s v="Kansas"/>
    <s v="Wichita"/>
    <x v="2"/>
    <n v="0.45"/>
    <n v="1500"/>
    <x v="321"/>
    <n v="202.5"/>
    <n v="0.3"/>
  </r>
  <r>
    <x v="0"/>
    <x v="0"/>
    <x v="9"/>
    <x v="3"/>
    <s v="Kansas"/>
    <s v="Wichita"/>
    <x v="3"/>
    <n v="0.45"/>
    <n v="1250"/>
    <x v="180"/>
    <n v="168.75"/>
    <n v="0.3"/>
  </r>
  <r>
    <x v="0"/>
    <x v="0"/>
    <x v="9"/>
    <x v="3"/>
    <s v="Kansas"/>
    <s v="Wichita"/>
    <x v="4"/>
    <n v="0.54999999999999993"/>
    <n v="1250"/>
    <x v="179"/>
    <n v="240.62499999999994"/>
    <n v="0.35"/>
  </r>
  <r>
    <x v="0"/>
    <x v="0"/>
    <x v="9"/>
    <x v="3"/>
    <s v="Kansas"/>
    <s v="Wichita"/>
    <x v="5"/>
    <n v="0.59999999999999987"/>
    <n v="2500"/>
    <x v="167"/>
    <n v="599.99999999999989"/>
    <n v="0.4"/>
  </r>
  <r>
    <x v="0"/>
    <x v="0"/>
    <x v="240"/>
    <x v="3"/>
    <s v="Kansas"/>
    <s v="Wichita"/>
    <x v="0"/>
    <n v="0.54999999999999993"/>
    <n v="4000"/>
    <x v="208"/>
    <n v="769.99999999999977"/>
    <n v="0.35"/>
  </r>
  <r>
    <x v="0"/>
    <x v="0"/>
    <x v="240"/>
    <x v="3"/>
    <s v="Kansas"/>
    <s v="Wichita"/>
    <x v="1"/>
    <n v="0.45"/>
    <n v="2500"/>
    <x v="127"/>
    <n v="337.5"/>
    <n v="0.3"/>
  </r>
  <r>
    <x v="0"/>
    <x v="0"/>
    <x v="240"/>
    <x v="3"/>
    <s v="Kansas"/>
    <s v="Wichita"/>
    <x v="2"/>
    <n v="0.45"/>
    <n v="1950"/>
    <x v="690"/>
    <n v="263.25"/>
    <n v="0.3"/>
  </r>
  <r>
    <x v="0"/>
    <x v="0"/>
    <x v="240"/>
    <x v="3"/>
    <s v="Kansas"/>
    <s v="Wichita"/>
    <x v="3"/>
    <n v="0.45"/>
    <n v="1750"/>
    <x v="120"/>
    <n v="236.25"/>
    <n v="0.3"/>
  </r>
  <r>
    <x v="0"/>
    <x v="0"/>
    <x v="240"/>
    <x v="3"/>
    <s v="Kansas"/>
    <s v="Wichita"/>
    <x v="4"/>
    <n v="0.6"/>
    <n v="1500"/>
    <x v="124"/>
    <n v="315"/>
    <n v="0.35"/>
  </r>
  <r>
    <x v="0"/>
    <x v="0"/>
    <x v="240"/>
    <x v="3"/>
    <s v="Kansas"/>
    <s v="Wichita"/>
    <x v="5"/>
    <n v="0.64999999999999991"/>
    <n v="2500"/>
    <x v="144"/>
    <n v="650"/>
    <n v="0.4"/>
  </r>
  <r>
    <x v="0"/>
    <x v="0"/>
    <x v="241"/>
    <x v="3"/>
    <s v="Kansas"/>
    <s v="Wichita"/>
    <x v="0"/>
    <n v="0.6"/>
    <n v="5000"/>
    <x v="61"/>
    <n v="1050"/>
    <n v="0.35"/>
  </r>
  <r>
    <x v="0"/>
    <x v="0"/>
    <x v="241"/>
    <x v="3"/>
    <s v="Kansas"/>
    <s v="Wichita"/>
    <x v="1"/>
    <n v="0.5"/>
    <n v="3000"/>
    <x v="146"/>
    <n v="450"/>
    <n v="0.3"/>
  </r>
  <r>
    <x v="0"/>
    <x v="0"/>
    <x v="241"/>
    <x v="3"/>
    <s v="Kansas"/>
    <s v="Wichita"/>
    <x v="2"/>
    <n v="0.5"/>
    <n v="2500"/>
    <x v="142"/>
    <n v="375"/>
    <n v="0.3"/>
  </r>
  <r>
    <x v="0"/>
    <x v="0"/>
    <x v="241"/>
    <x v="3"/>
    <s v="Kansas"/>
    <s v="Wichita"/>
    <x v="3"/>
    <n v="0.5"/>
    <n v="2000"/>
    <x v="123"/>
    <n v="300"/>
    <n v="0.3"/>
  </r>
  <r>
    <x v="0"/>
    <x v="0"/>
    <x v="241"/>
    <x v="3"/>
    <s v="Kansas"/>
    <s v="Wichita"/>
    <x v="4"/>
    <n v="0.6"/>
    <n v="2000"/>
    <x v="147"/>
    <n v="420"/>
    <n v="0.35"/>
  </r>
  <r>
    <x v="0"/>
    <x v="0"/>
    <x v="241"/>
    <x v="3"/>
    <s v="Kansas"/>
    <s v="Wichita"/>
    <x v="5"/>
    <n v="0.64999999999999991"/>
    <n v="3000"/>
    <x v="148"/>
    <n v="780"/>
    <n v="0.4"/>
  </r>
  <r>
    <x v="0"/>
    <x v="0"/>
    <x v="204"/>
    <x v="3"/>
    <s v="South Dakota"/>
    <s v="Sioux Falls"/>
    <x v="0"/>
    <n v="0.35000000000000003"/>
    <n v="4750"/>
    <x v="394"/>
    <n v="581.875"/>
    <n v="0.35"/>
  </r>
  <r>
    <x v="0"/>
    <x v="0"/>
    <x v="204"/>
    <x v="3"/>
    <s v="South Dakota"/>
    <s v="Sioux Falls"/>
    <x v="1"/>
    <n v="0.35000000000000003"/>
    <n v="2750"/>
    <x v="117"/>
    <n v="288.75"/>
    <n v="0.3"/>
  </r>
  <r>
    <x v="0"/>
    <x v="0"/>
    <x v="204"/>
    <x v="3"/>
    <s v="South Dakota"/>
    <s v="Sioux Falls"/>
    <x v="2"/>
    <n v="0.25000000000000006"/>
    <n v="2750"/>
    <x v="502"/>
    <n v="206.25000000000003"/>
    <n v="0.3"/>
  </r>
  <r>
    <x v="0"/>
    <x v="0"/>
    <x v="204"/>
    <x v="3"/>
    <s v="South Dakota"/>
    <s v="Sioux Falls"/>
    <x v="3"/>
    <n v="0.30000000000000004"/>
    <n v="1250"/>
    <x v="372"/>
    <n v="112.50000000000001"/>
    <n v="0.3"/>
  </r>
  <r>
    <x v="0"/>
    <x v="0"/>
    <x v="204"/>
    <x v="3"/>
    <s v="South Dakota"/>
    <s v="Sioux Falls"/>
    <x v="4"/>
    <n v="0.44999999999999996"/>
    <n v="1750"/>
    <x v="474"/>
    <n v="275.62499999999994"/>
    <n v="0.35"/>
  </r>
  <r>
    <x v="0"/>
    <x v="0"/>
    <x v="204"/>
    <x v="3"/>
    <s v="South Dakota"/>
    <s v="Sioux Falls"/>
    <x v="5"/>
    <n v="0.35000000000000003"/>
    <n v="2750"/>
    <x v="117"/>
    <n v="385.00000000000006"/>
    <n v="0.4"/>
  </r>
  <r>
    <x v="0"/>
    <x v="0"/>
    <x v="242"/>
    <x v="3"/>
    <s v="South Dakota"/>
    <s v="Sioux Falls"/>
    <x v="0"/>
    <n v="0.35000000000000003"/>
    <n v="5250"/>
    <x v="450"/>
    <n v="643.125"/>
    <n v="0.35"/>
  </r>
  <r>
    <x v="0"/>
    <x v="0"/>
    <x v="242"/>
    <x v="3"/>
    <s v="South Dakota"/>
    <s v="Sioux Falls"/>
    <x v="1"/>
    <n v="0.35000000000000003"/>
    <n v="1750"/>
    <x v="181"/>
    <n v="183.75000000000003"/>
    <n v="0.3"/>
  </r>
  <r>
    <x v="0"/>
    <x v="0"/>
    <x v="242"/>
    <x v="3"/>
    <s v="South Dakota"/>
    <s v="Sioux Falls"/>
    <x v="2"/>
    <n v="0.25000000000000006"/>
    <n v="2250"/>
    <x v="469"/>
    <n v="168.75000000000003"/>
    <n v="0.3"/>
  </r>
  <r>
    <x v="0"/>
    <x v="0"/>
    <x v="242"/>
    <x v="3"/>
    <s v="South Dakota"/>
    <s v="Sioux Falls"/>
    <x v="3"/>
    <n v="0.30000000000000004"/>
    <n v="1000"/>
    <x v="309"/>
    <n v="90.000000000000014"/>
    <n v="0.3"/>
  </r>
  <r>
    <x v="0"/>
    <x v="0"/>
    <x v="242"/>
    <x v="3"/>
    <s v="South Dakota"/>
    <s v="Sioux Falls"/>
    <x v="4"/>
    <n v="0.44999999999999996"/>
    <n v="1750"/>
    <x v="474"/>
    <n v="275.62499999999994"/>
    <n v="0.35"/>
  </r>
  <r>
    <x v="0"/>
    <x v="0"/>
    <x v="242"/>
    <x v="3"/>
    <s v="South Dakota"/>
    <s v="Sioux Falls"/>
    <x v="5"/>
    <n v="0.24999999999999997"/>
    <n v="2750"/>
    <x v="179"/>
    <n v="274.99999999999994"/>
    <n v="0.4"/>
  </r>
  <r>
    <x v="0"/>
    <x v="0"/>
    <x v="80"/>
    <x v="3"/>
    <s v="South Dakota"/>
    <s v="Sioux Falls"/>
    <x v="0"/>
    <n v="0.30000000000000004"/>
    <n v="4950"/>
    <x v="691"/>
    <n v="519.75"/>
    <n v="0.35"/>
  </r>
  <r>
    <x v="0"/>
    <x v="0"/>
    <x v="80"/>
    <x v="3"/>
    <s v="South Dakota"/>
    <s v="Sioux Falls"/>
    <x v="1"/>
    <n v="0.30000000000000004"/>
    <n v="2000"/>
    <x v="399"/>
    <n v="180.00000000000003"/>
    <n v="0.3"/>
  </r>
  <r>
    <x v="0"/>
    <x v="0"/>
    <x v="80"/>
    <x v="3"/>
    <s v="South Dakota"/>
    <s v="Sioux Falls"/>
    <x v="2"/>
    <n v="0.20000000000000004"/>
    <n v="2250"/>
    <x v="692"/>
    <n v="135.00000000000003"/>
    <n v="0.3"/>
  </r>
  <r>
    <x v="0"/>
    <x v="0"/>
    <x v="80"/>
    <x v="3"/>
    <s v="South Dakota"/>
    <s v="Sioux Falls"/>
    <x v="3"/>
    <n v="0.24999999999999997"/>
    <n v="750"/>
    <x v="693"/>
    <n v="56.249999999999993"/>
    <n v="0.3"/>
  </r>
  <r>
    <x v="0"/>
    <x v="0"/>
    <x v="80"/>
    <x v="3"/>
    <s v="South Dakota"/>
    <s v="Sioux Falls"/>
    <x v="4"/>
    <n v="0.4"/>
    <n v="1250"/>
    <x v="118"/>
    <n v="175"/>
    <n v="0.35"/>
  </r>
  <r>
    <x v="0"/>
    <x v="0"/>
    <x v="80"/>
    <x v="3"/>
    <s v="South Dakota"/>
    <s v="Sioux Falls"/>
    <x v="5"/>
    <n v="0.30000000000000004"/>
    <n v="2250"/>
    <x v="318"/>
    <n v="270.00000000000006"/>
    <n v="0.4"/>
  </r>
  <r>
    <x v="0"/>
    <x v="0"/>
    <x v="81"/>
    <x v="3"/>
    <s v="South Dakota"/>
    <s v="Sioux Falls"/>
    <x v="0"/>
    <n v="0.30000000000000004"/>
    <n v="4500"/>
    <x v="139"/>
    <n v="472.50000000000006"/>
    <n v="0.35"/>
  </r>
  <r>
    <x v="0"/>
    <x v="0"/>
    <x v="81"/>
    <x v="3"/>
    <s v="South Dakota"/>
    <s v="Sioux Falls"/>
    <x v="1"/>
    <n v="0.30000000000000004"/>
    <n v="1500"/>
    <x v="362"/>
    <n v="135"/>
    <n v="0.3"/>
  </r>
  <r>
    <x v="0"/>
    <x v="0"/>
    <x v="81"/>
    <x v="3"/>
    <s v="South Dakota"/>
    <s v="Sioux Falls"/>
    <x v="2"/>
    <n v="0.20000000000000004"/>
    <n v="1500"/>
    <x v="309"/>
    <n v="90.000000000000014"/>
    <n v="0.3"/>
  </r>
  <r>
    <x v="0"/>
    <x v="0"/>
    <x v="81"/>
    <x v="3"/>
    <s v="South Dakota"/>
    <s v="Sioux Falls"/>
    <x v="3"/>
    <n v="0.24999999999999997"/>
    <n v="750"/>
    <x v="693"/>
    <n v="56.249999999999993"/>
    <n v="0.3"/>
  </r>
  <r>
    <x v="0"/>
    <x v="0"/>
    <x v="81"/>
    <x v="3"/>
    <s v="South Dakota"/>
    <s v="Sioux Falls"/>
    <x v="4"/>
    <n v="0.6"/>
    <n v="1000"/>
    <x v="128"/>
    <n v="210"/>
    <n v="0.35"/>
  </r>
  <r>
    <x v="0"/>
    <x v="0"/>
    <x v="81"/>
    <x v="3"/>
    <s v="South Dakota"/>
    <s v="Sioux Falls"/>
    <x v="5"/>
    <n v="0.5"/>
    <n v="2250"/>
    <x v="127"/>
    <n v="450"/>
    <n v="0.4"/>
  </r>
  <r>
    <x v="0"/>
    <x v="0"/>
    <x v="4"/>
    <x v="3"/>
    <s v="South Dakota"/>
    <s v="Sioux Falls"/>
    <x v="0"/>
    <n v="0.6"/>
    <n v="4950"/>
    <x v="129"/>
    <n v="1039.5"/>
    <n v="0.35"/>
  </r>
  <r>
    <x v="0"/>
    <x v="0"/>
    <x v="4"/>
    <x v="3"/>
    <s v="South Dakota"/>
    <s v="Sioux Falls"/>
    <x v="1"/>
    <n v="0.45"/>
    <n v="2000"/>
    <x v="124"/>
    <n v="270"/>
    <n v="0.3"/>
  </r>
  <r>
    <x v="0"/>
    <x v="0"/>
    <x v="4"/>
    <x v="3"/>
    <s v="South Dakota"/>
    <s v="Sioux Falls"/>
    <x v="2"/>
    <n v="0.4"/>
    <n v="1750"/>
    <x v="135"/>
    <n v="210"/>
    <n v="0.3"/>
  </r>
  <r>
    <x v="0"/>
    <x v="0"/>
    <x v="4"/>
    <x v="3"/>
    <s v="South Dakota"/>
    <s v="Sioux Falls"/>
    <x v="3"/>
    <n v="0.4"/>
    <n v="1000"/>
    <x v="122"/>
    <n v="120"/>
    <n v="0.3"/>
  </r>
  <r>
    <x v="0"/>
    <x v="0"/>
    <x v="4"/>
    <x v="3"/>
    <s v="South Dakota"/>
    <s v="Sioux Falls"/>
    <x v="4"/>
    <n v="0.49999999999999994"/>
    <n v="1250"/>
    <x v="694"/>
    <n v="218.74999999999994"/>
    <n v="0.35"/>
  </r>
  <r>
    <x v="0"/>
    <x v="0"/>
    <x v="4"/>
    <x v="3"/>
    <s v="South Dakota"/>
    <s v="Sioux Falls"/>
    <x v="5"/>
    <n v="0.54999999999999993"/>
    <n v="2500"/>
    <x v="695"/>
    <n v="549.99999999999989"/>
    <n v="0.4"/>
  </r>
  <r>
    <x v="0"/>
    <x v="0"/>
    <x v="243"/>
    <x v="3"/>
    <s v="South Dakota"/>
    <s v="Sioux Falls"/>
    <x v="0"/>
    <n v="0.4"/>
    <n v="5000"/>
    <x v="47"/>
    <n v="700"/>
    <n v="0.35"/>
  </r>
  <r>
    <x v="0"/>
    <x v="0"/>
    <x v="243"/>
    <x v="3"/>
    <s v="South Dakota"/>
    <s v="Sioux Falls"/>
    <x v="1"/>
    <n v="0.35000000000000009"/>
    <n v="2500"/>
    <x v="504"/>
    <n v="262.50000000000006"/>
    <n v="0.3"/>
  </r>
  <r>
    <x v="0"/>
    <x v="0"/>
    <x v="243"/>
    <x v="3"/>
    <s v="South Dakota"/>
    <s v="Sioux Falls"/>
    <x v="2"/>
    <n v="0.30000000000000004"/>
    <n v="2000"/>
    <x v="399"/>
    <n v="180.00000000000003"/>
    <n v="0.3"/>
  </r>
  <r>
    <x v="0"/>
    <x v="0"/>
    <x v="243"/>
    <x v="3"/>
    <s v="South Dakota"/>
    <s v="Sioux Falls"/>
    <x v="3"/>
    <n v="0.30000000000000004"/>
    <n v="1750"/>
    <x v="314"/>
    <n v="157.50000000000003"/>
    <n v="0.3"/>
  </r>
  <r>
    <x v="0"/>
    <x v="0"/>
    <x v="243"/>
    <x v="3"/>
    <s v="South Dakota"/>
    <s v="Sioux Falls"/>
    <x v="4"/>
    <n v="0.4"/>
    <n v="1750"/>
    <x v="135"/>
    <n v="244.99999999999997"/>
    <n v="0.35"/>
  </r>
  <r>
    <x v="0"/>
    <x v="0"/>
    <x v="243"/>
    <x v="3"/>
    <s v="South Dakota"/>
    <s v="Sioux Falls"/>
    <x v="5"/>
    <n v="0.55000000000000004"/>
    <n v="3250"/>
    <x v="255"/>
    <n v="715.00000000000011"/>
    <n v="0.4"/>
  </r>
  <r>
    <x v="0"/>
    <x v="0"/>
    <x v="84"/>
    <x v="3"/>
    <s v="South Dakota"/>
    <s v="Sioux Falls"/>
    <x v="0"/>
    <n v="0.5"/>
    <n v="5500"/>
    <x v="80"/>
    <n v="962.49999999999989"/>
    <n v="0.35"/>
  </r>
  <r>
    <x v="0"/>
    <x v="0"/>
    <x v="84"/>
    <x v="3"/>
    <s v="South Dakota"/>
    <s v="Sioux Falls"/>
    <x v="1"/>
    <n v="0.45000000000000007"/>
    <n v="3000"/>
    <x v="139"/>
    <n v="405.00000000000006"/>
    <n v="0.3"/>
  </r>
  <r>
    <x v="0"/>
    <x v="0"/>
    <x v="84"/>
    <x v="3"/>
    <s v="South Dakota"/>
    <s v="Sioux Falls"/>
    <x v="2"/>
    <n v="0.4"/>
    <n v="2250"/>
    <x v="124"/>
    <n v="270"/>
    <n v="0.3"/>
  </r>
  <r>
    <x v="0"/>
    <x v="0"/>
    <x v="84"/>
    <x v="3"/>
    <s v="South Dakota"/>
    <s v="Sioux Falls"/>
    <x v="3"/>
    <n v="0.4"/>
    <n v="1750"/>
    <x v="135"/>
    <n v="210"/>
    <n v="0.3"/>
  </r>
  <r>
    <x v="0"/>
    <x v="0"/>
    <x v="84"/>
    <x v="3"/>
    <s v="South Dakota"/>
    <s v="Sioux Falls"/>
    <x v="4"/>
    <n v="0.5"/>
    <n v="2000"/>
    <x v="123"/>
    <n v="350"/>
    <n v="0.35"/>
  </r>
  <r>
    <x v="0"/>
    <x v="0"/>
    <x v="84"/>
    <x v="3"/>
    <s v="South Dakota"/>
    <s v="Sioux Falls"/>
    <x v="5"/>
    <n v="0.55000000000000004"/>
    <n v="3750"/>
    <x v="138"/>
    <n v="825"/>
    <n v="0.4"/>
  </r>
  <r>
    <x v="0"/>
    <x v="0"/>
    <x v="85"/>
    <x v="3"/>
    <s v="South Dakota"/>
    <s v="Sioux Falls"/>
    <x v="0"/>
    <n v="0.5"/>
    <n v="5250"/>
    <x v="48"/>
    <n v="918.74999999999989"/>
    <n v="0.35"/>
  </r>
  <r>
    <x v="0"/>
    <x v="0"/>
    <x v="85"/>
    <x v="3"/>
    <s v="South Dakota"/>
    <s v="Sioux Falls"/>
    <x v="1"/>
    <n v="0.45000000000000007"/>
    <n v="3000"/>
    <x v="139"/>
    <n v="405.00000000000006"/>
    <n v="0.3"/>
  </r>
  <r>
    <x v="0"/>
    <x v="0"/>
    <x v="85"/>
    <x v="3"/>
    <s v="South Dakota"/>
    <s v="Sioux Falls"/>
    <x v="2"/>
    <n v="0.4"/>
    <n v="2250"/>
    <x v="124"/>
    <n v="270"/>
    <n v="0.3"/>
  </r>
  <r>
    <x v="0"/>
    <x v="0"/>
    <x v="85"/>
    <x v="3"/>
    <s v="South Dakota"/>
    <s v="Sioux Falls"/>
    <x v="3"/>
    <n v="0.4"/>
    <n v="2000"/>
    <x v="134"/>
    <n v="240"/>
    <n v="0.3"/>
  </r>
  <r>
    <x v="0"/>
    <x v="0"/>
    <x v="85"/>
    <x v="3"/>
    <s v="South Dakota"/>
    <s v="Sioux Falls"/>
    <x v="4"/>
    <n v="0.5"/>
    <n v="1750"/>
    <x v="131"/>
    <n v="306.25"/>
    <n v="0.35"/>
  </r>
  <r>
    <x v="0"/>
    <x v="0"/>
    <x v="85"/>
    <x v="3"/>
    <s v="South Dakota"/>
    <s v="Sioux Falls"/>
    <x v="5"/>
    <n v="0.55000000000000004"/>
    <n v="3500"/>
    <x v="136"/>
    <n v="770.00000000000011"/>
    <n v="0.4"/>
  </r>
  <r>
    <x v="0"/>
    <x v="0"/>
    <x v="8"/>
    <x v="3"/>
    <s v="South Dakota"/>
    <s v="Sioux Falls"/>
    <x v="0"/>
    <n v="0.4"/>
    <n v="4750"/>
    <x v="235"/>
    <n v="665"/>
    <n v="0.35"/>
  </r>
  <r>
    <x v="0"/>
    <x v="0"/>
    <x v="8"/>
    <x v="3"/>
    <s v="South Dakota"/>
    <s v="Sioux Falls"/>
    <x v="1"/>
    <n v="0.35000000000000009"/>
    <n v="2750"/>
    <x v="623"/>
    <n v="288.75000000000006"/>
    <n v="0.3"/>
  </r>
  <r>
    <x v="0"/>
    <x v="0"/>
    <x v="8"/>
    <x v="3"/>
    <s v="South Dakota"/>
    <s v="Sioux Falls"/>
    <x v="2"/>
    <n v="0.30000000000000004"/>
    <n v="1750"/>
    <x v="314"/>
    <n v="157.50000000000003"/>
    <n v="0.3"/>
  </r>
  <r>
    <x v="0"/>
    <x v="0"/>
    <x v="8"/>
    <x v="3"/>
    <s v="South Dakota"/>
    <s v="Sioux Falls"/>
    <x v="3"/>
    <n v="0.30000000000000004"/>
    <n v="1500"/>
    <x v="362"/>
    <n v="135"/>
    <n v="0.3"/>
  </r>
  <r>
    <x v="0"/>
    <x v="0"/>
    <x v="8"/>
    <x v="3"/>
    <s v="South Dakota"/>
    <s v="Sioux Falls"/>
    <x v="4"/>
    <n v="0.4"/>
    <n v="1500"/>
    <x v="128"/>
    <n v="210"/>
    <n v="0.35"/>
  </r>
  <r>
    <x v="0"/>
    <x v="0"/>
    <x v="8"/>
    <x v="3"/>
    <s v="South Dakota"/>
    <s v="Sioux Falls"/>
    <x v="5"/>
    <n v="0.45"/>
    <n v="2250"/>
    <x v="177"/>
    <n v="405"/>
    <n v="0.4"/>
  </r>
  <r>
    <x v="0"/>
    <x v="0"/>
    <x v="244"/>
    <x v="3"/>
    <s v="South Dakota"/>
    <s v="Sioux Falls"/>
    <x v="0"/>
    <n v="0.49999999999999994"/>
    <n v="4000"/>
    <x v="236"/>
    <n v="699.99999999999989"/>
    <n v="0.35"/>
  </r>
  <r>
    <x v="0"/>
    <x v="0"/>
    <x v="244"/>
    <x v="3"/>
    <s v="South Dakota"/>
    <s v="Sioux Falls"/>
    <x v="1"/>
    <n v="0.4"/>
    <n v="2500"/>
    <x v="123"/>
    <n v="300"/>
    <n v="0.3"/>
  </r>
  <r>
    <x v="0"/>
    <x v="0"/>
    <x v="244"/>
    <x v="3"/>
    <s v="South Dakota"/>
    <s v="Sioux Falls"/>
    <x v="2"/>
    <n v="0.4"/>
    <n v="1500"/>
    <x v="128"/>
    <n v="180"/>
    <n v="0.3"/>
  </r>
  <r>
    <x v="0"/>
    <x v="0"/>
    <x v="244"/>
    <x v="3"/>
    <s v="South Dakota"/>
    <s v="Sioux Falls"/>
    <x v="3"/>
    <n v="0.4"/>
    <n v="1250"/>
    <x v="118"/>
    <n v="150"/>
    <n v="0.3"/>
  </r>
  <r>
    <x v="0"/>
    <x v="0"/>
    <x v="244"/>
    <x v="3"/>
    <s v="South Dakota"/>
    <s v="Sioux Falls"/>
    <x v="4"/>
    <n v="0.49999999999999994"/>
    <n v="1250"/>
    <x v="694"/>
    <n v="218.74999999999994"/>
    <n v="0.35"/>
  </r>
  <r>
    <x v="0"/>
    <x v="0"/>
    <x v="244"/>
    <x v="3"/>
    <s v="South Dakota"/>
    <s v="Sioux Falls"/>
    <x v="5"/>
    <n v="0.54999999999999982"/>
    <n v="2500"/>
    <x v="383"/>
    <n v="549.99999999999989"/>
    <n v="0.4"/>
  </r>
  <r>
    <x v="0"/>
    <x v="0"/>
    <x v="88"/>
    <x v="3"/>
    <s v="South Dakota"/>
    <s v="Sioux Falls"/>
    <x v="0"/>
    <n v="0.49999999999999994"/>
    <n v="4000"/>
    <x v="236"/>
    <n v="699.99999999999989"/>
    <n v="0.35"/>
  </r>
  <r>
    <x v="0"/>
    <x v="0"/>
    <x v="88"/>
    <x v="3"/>
    <s v="South Dakota"/>
    <s v="Sioux Falls"/>
    <x v="1"/>
    <n v="0.4"/>
    <n v="2500"/>
    <x v="123"/>
    <n v="300"/>
    <n v="0.3"/>
  </r>
  <r>
    <x v="0"/>
    <x v="0"/>
    <x v="88"/>
    <x v="3"/>
    <s v="South Dakota"/>
    <s v="Sioux Falls"/>
    <x v="2"/>
    <n v="0.4"/>
    <n v="1950"/>
    <x v="696"/>
    <n v="234"/>
    <n v="0.3"/>
  </r>
  <r>
    <x v="0"/>
    <x v="0"/>
    <x v="88"/>
    <x v="3"/>
    <s v="South Dakota"/>
    <s v="Sioux Falls"/>
    <x v="3"/>
    <n v="0.4"/>
    <n v="1750"/>
    <x v="135"/>
    <n v="210"/>
    <n v="0.3"/>
  </r>
  <r>
    <x v="0"/>
    <x v="0"/>
    <x v="88"/>
    <x v="3"/>
    <s v="South Dakota"/>
    <s v="Sioux Falls"/>
    <x v="4"/>
    <n v="0.6"/>
    <n v="1500"/>
    <x v="124"/>
    <n v="315"/>
    <n v="0.35"/>
  </r>
  <r>
    <x v="0"/>
    <x v="0"/>
    <x v="88"/>
    <x v="3"/>
    <s v="South Dakota"/>
    <s v="Sioux Falls"/>
    <x v="5"/>
    <n v="0.64999999999999991"/>
    <n v="2500"/>
    <x v="144"/>
    <n v="650"/>
    <n v="0.4"/>
  </r>
  <r>
    <x v="0"/>
    <x v="0"/>
    <x v="89"/>
    <x v="3"/>
    <s v="South Dakota"/>
    <s v="Sioux Falls"/>
    <x v="0"/>
    <n v="0.6"/>
    <n v="5000"/>
    <x v="61"/>
    <n v="1050"/>
    <n v="0.35"/>
  </r>
  <r>
    <x v="0"/>
    <x v="0"/>
    <x v="89"/>
    <x v="3"/>
    <s v="South Dakota"/>
    <s v="Sioux Falls"/>
    <x v="1"/>
    <n v="0.5"/>
    <n v="3000"/>
    <x v="146"/>
    <n v="450"/>
    <n v="0.3"/>
  </r>
  <r>
    <x v="0"/>
    <x v="0"/>
    <x v="89"/>
    <x v="3"/>
    <s v="South Dakota"/>
    <s v="Sioux Falls"/>
    <x v="2"/>
    <n v="0.5"/>
    <n v="2500"/>
    <x v="142"/>
    <n v="375"/>
    <n v="0.3"/>
  </r>
  <r>
    <x v="0"/>
    <x v="0"/>
    <x v="89"/>
    <x v="3"/>
    <s v="South Dakota"/>
    <s v="Sioux Falls"/>
    <x v="3"/>
    <n v="0.5"/>
    <n v="2000"/>
    <x v="123"/>
    <n v="300"/>
    <n v="0.3"/>
  </r>
  <r>
    <x v="0"/>
    <x v="0"/>
    <x v="89"/>
    <x v="3"/>
    <s v="South Dakota"/>
    <s v="Sioux Falls"/>
    <x v="4"/>
    <n v="0.6"/>
    <n v="2000"/>
    <x v="147"/>
    <n v="420"/>
    <n v="0.35"/>
  </r>
  <r>
    <x v="0"/>
    <x v="0"/>
    <x v="89"/>
    <x v="3"/>
    <s v="South Dakota"/>
    <s v="Sioux Falls"/>
    <x v="5"/>
    <n v="0.64999999999999991"/>
    <n v="3000"/>
    <x v="148"/>
    <n v="780"/>
    <n v="0.4"/>
  </r>
  <r>
    <x v="0"/>
    <x v="0"/>
    <x v="212"/>
    <x v="3"/>
    <s v="North Dakota"/>
    <s v="Fargo"/>
    <x v="0"/>
    <n v="0.30000000000000004"/>
    <n v="4500"/>
    <x v="139"/>
    <n v="405.00000000000006"/>
    <n v="0.3"/>
  </r>
  <r>
    <x v="0"/>
    <x v="0"/>
    <x v="212"/>
    <x v="3"/>
    <s v="North Dakota"/>
    <s v="Fargo"/>
    <x v="1"/>
    <n v="0.30000000000000004"/>
    <n v="2500"/>
    <x v="398"/>
    <n v="262.5"/>
    <n v="0.35"/>
  </r>
  <r>
    <x v="0"/>
    <x v="0"/>
    <x v="212"/>
    <x v="3"/>
    <s v="North Dakota"/>
    <s v="Fargo"/>
    <x v="2"/>
    <n v="0.20000000000000007"/>
    <n v="2500"/>
    <x v="697"/>
    <n v="150.00000000000006"/>
    <n v="0.3"/>
  </r>
  <r>
    <x v="0"/>
    <x v="0"/>
    <x v="212"/>
    <x v="3"/>
    <s v="North Dakota"/>
    <s v="Fargo"/>
    <x v="3"/>
    <n v="0.25000000000000006"/>
    <n v="1000"/>
    <x v="677"/>
    <n v="75.000000000000014"/>
    <n v="0.3"/>
  </r>
  <r>
    <x v="0"/>
    <x v="0"/>
    <x v="212"/>
    <x v="3"/>
    <s v="North Dakota"/>
    <s v="Fargo"/>
    <x v="4"/>
    <n v="0.39999999999999997"/>
    <n v="1500"/>
    <x v="128"/>
    <n v="300"/>
    <n v="0.5"/>
  </r>
  <r>
    <x v="0"/>
    <x v="0"/>
    <x v="212"/>
    <x v="3"/>
    <s v="North Dakota"/>
    <s v="Fargo"/>
    <x v="5"/>
    <n v="0.30000000000000004"/>
    <n v="2500"/>
    <x v="398"/>
    <n v="300.00000000000006"/>
    <n v="0.4"/>
  </r>
  <r>
    <x v="0"/>
    <x v="0"/>
    <x v="245"/>
    <x v="3"/>
    <s v="North Dakota"/>
    <s v="Fargo"/>
    <x v="0"/>
    <n v="0.30000000000000004"/>
    <n v="5000"/>
    <x v="192"/>
    <n v="450.00000000000006"/>
    <n v="0.3"/>
  </r>
  <r>
    <x v="0"/>
    <x v="0"/>
    <x v="245"/>
    <x v="3"/>
    <s v="North Dakota"/>
    <s v="Fargo"/>
    <x v="1"/>
    <n v="0.30000000000000004"/>
    <n v="1500"/>
    <x v="362"/>
    <n v="157.5"/>
    <n v="0.35"/>
  </r>
  <r>
    <x v="0"/>
    <x v="0"/>
    <x v="245"/>
    <x v="3"/>
    <s v="North Dakota"/>
    <s v="Fargo"/>
    <x v="2"/>
    <n v="0.20000000000000007"/>
    <n v="2000"/>
    <x v="698"/>
    <n v="120.00000000000003"/>
    <n v="0.3"/>
  </r>
  <r>
    <x v="0"/>
    <x v="0"/>
    <x v="245"/>
    <x v="3"/>
    <s v="North Dakota"/>
    <s v="Fargo"/>
    <x v="3"/>
    <n v="0.25000000000000006"/>
    <n v="750"/>
    <x v="364"/>
    <n v="56.250000000000007"/>
    <n v="0.3"/>
  </r>
  <r>
    <x v="0"/>
    <x v="0"/>
    <x v="245"/>
    <x v="3"/>
    <s v="North Dakota"/>
    <s v="Fargo"/>
    <x v="4"/>
    <n v="0.39999999999999997"/>
    <n v="1500"/>
    <x v="128"/>
    <n v="300"/>
    <n v="0.5"/>
  </r>
  <r>
    <x v="0"/>
    <x v="0"/>
    <x v="245"/>
    <x v="3"/>
    <s v="North Dakota"/>
    <s v="Fargo"/>
    <x v="5"/>
    <n v="0.14999999999999997"/>
    <n v="2500"/>
    <x v="699"/>
    <n v="149.99999999999997"/>
    <n v="0.4"/>
  </r>
  <r>
    <x v="0"/>
    <x v="0"/>
    <x v="115"/>
    <x v="3"/>
    <s v="North Dakota"/>
    <s v="Fargo"/>
    <x v="0"/>
    <n v="0.20000000000000004"/>
    <n v="4700"/>
    <x v="700"/>
    <n v="282.00000000000006"/>
    <n v="0.3"/>
  </r>
  <r>
    <x v="0"/>
    <x v="0"/>
    <x v="115"/>
    <x v="3"/>
    <s v="North Dakota"/>
    <s v="Fargo"/>
    <x v="1"/>
    <n v="0.20000000000000004"/>
    <n v="1750"/>
    <x v="367"/>
    <n v="122.50000000000001"/>
    <n v="0.35"/>
  </r>
  <r>
    <x v="0"/>
    <x v="0"/>
    <x v="115"/>
    <x v="3"/>
    <s v="North Dakota"/>
    <s v="Fargo"/>
    <x v="2"/>
    <n v="0.10000000000000003"/>
    <n v="2250"/>
    <x v="701"/>
    <n v="67.500000000000028"/>
    <n v="0.3"/>
  </r>
  <r>
    <x v="0"/>
    <x v="0"/>
    <x v="115"/>
    <x v="3"/>
    <s v="North Dakota"/>
    <s v="Fargo"/>
    <x v="3"/>
    <n v="0.14999999999999997"/>
    <n v="1000"/>
    <x v="702"/>
    <n v="44.999999999999993"/>
    <n v="0.3"/>
  </r>
  <r>
    <x v="0"/>
    <x v="0"/>
    <x v="115"/>
    <x v="3"/>
    <s v="North Dakota"/>
    <s v="Fargo"/>
    <x v="4"/>
    <n v="0.30000000000000004"/>
    <n v="1500"/>
    <x v="362"/>
    <n v="225.00000000000003"/>
    <n v="0.5"/>
  </r>
  <r>
    <x v="0"/>
    <x v="0"/>
    <x v="115"/>
    <x v="3"/>
    <s v="North Dakota"/>
    <s v="Fargo"/>
    <x v="5"/>
    <n v="0.20000000000000004"/>
    <n v="2500"/>
    <x v="366"/>
    <n v="200.00000000000006"/>
    <n v="0.4"/>
  </r>
  <r>
    <x v="0"/>
    <x v="0"/>
    <x v="206"/>
    <x v="3"/>
    <s v="North Dakota"/>
    <s v="Fargo"/>
    <x v="0"/>
    <n v="0.20000000000000004"/>
    <n v="4750"/>
    <x v="703"/>
    <n v="285.00000000000006"/>
    <n v="0.3"/>
  </r>
  <r>
    <x v="0"/>
    <x v="0"/>
    <x v="206"/>
    <x v="3"/>
    <s v="North Dakota"/>
    <s v="Fargo"/>
    <x v="1"/>
    <n v="0.20000000000000004"/>
    <n v="1750"/>
    <x v="367"/>
    <n v="122.50000000000001"/>
    <n v="0.35"/>
  </r>
  <r>
    <x v="0"/>
    <x v="0"/>
    <x v="206"/>
    <x v="3"/>
    <s v="North Dakota"/>
    <s v="Fargo"/>
    <x v="2"/>
    <n v="0.10000000000000003"/>
    <n v="1750"/>
    <x v="704"/>
    <n v="52.500000000000014"/>
    <n v="0.3"/>
  </r>
  <r>
    <x v="0"/>
    <x v="0"/>
    <x v="206"/>
    <x v="3"/>
    <s v="North Dakota"/>
    <s v="Fargo"/>
    <x v="3"/>
    <n v="0.14999999999999997"/>
    <n v="1000"/>
    <x v="702"/>
    <n v="44.999999999999993"/>
    <n v="0.3"/>
  </r>
  <r>
    <x v="0"/>
    <x v="0"/>
    <x v="206"/>
    <x v="3"/>
    <s v="North Dakota"/>
    <s v="Fargo"/>
    <x v="4"/>
    <n v="0.6"/>
    <n v="1250"/>
    <x v="126"/>
    <n v="375"/>
    <n v="0.5"/>
  </r>
  <r>
    <x v="0"/>
    <x v="0"/>
    <x v="206"/>
    <x v="3"/>
    <s v="North Dakota"/>
    <s v="Fargo"/>
    <x v="5"/>
    <n v="0.5"/>
    <n v="2500"/>
    <x v="142"/>
    <n v="500"/>
    <n v="0.4"/>
  </r>
  <r>
    <x v="0"/>
    <x v="0"/>
    <x v="246"/>
    <x v="3"/>
    <s v="North Dakota"/>
    <s v="Fargo"/>
    <x v="0"/>
    <n v="0.6"/>
    <n v="5200"/>
    <x v="705"/>
    <n v="936"/>
    <n v="0.3"/>
  </r>
  <r>
    <x v="0"/>
    <x v="0"/>
    <x v="246"/>
    <x v="3"/>
    <s v="North Dakota"/>
    <s v="Fargo"/>
    <x v="1"/>
    <n v="0.4"/>
    <n v="2250"/>
    <x v="124"/>
    <n v="315"/>
    <n v="0.35"/>
  </r>
  <r>
    <x v="0"/>
    <x v="0"/>
    <x v="246"/>
    <x v="3"/>
    <s v="North Dakota"/>
    <s v="Fargo"/>
    <x v="2"/>
    <n v="0.35000000000000003"/>
    <n v="2000"/>
    <x v="320"/>
    <n v="210.00000000000003"/>
    <n v="0.3"/>
  </r>
  <r>
    <x v="0"/>
    <x v="0"/>
    <x v="246"/>
    <x v="3"/>
    <s v="North Dakota"/>
    <s v="Fargo"/>
    <x v="3"/>
    <n v="0.35000000000000003"/>
    <n v="1250"/>
    <x v="620"/>
    <n v="131.25"/>
    <n v="0.3"/>
  </r>
  <r>
    <x v="0"/>
    <x v="0"/>
    <x v="246"/>
    <x v="3"/>
    <s v="North Dakota"/>
    <s v="Fargo"/>
    <x v="4"/>
    <n v="0.44999999999999996"/>
    <n v="1500"/>
    <x v="310"/>
    <n v="337.49999999999994"/>
    <n v="0.5"/>
  </r>
  <r>
    <x v="0"/>
    <x v="0"/>
    <x v="246"/>
    <x v="3"/>
    <s v="North Dakota"/>
    <s v="Fargo"/>
    <x v="5"/>
    <n v="0.49999999999999994"/>
    <n v="2750"/>
    <x v="695"/>
    <n v="549.99999999999989"/>
    <n v="0.4"/>
  </r>
  <r>
    <x v="0"/>
    <x v="0"/>
    <x v="247"/>
    <x v="3"/>
    <s v="North Dakota"/>
    <s v="Fargo"/>
    <x v="0"/>
    <n v="0.35000000000000003"/>
    <n v="5250"/>
    <x v="450"/>
    <n v="551.25"/>
    <n v="0.3"/>
  </r>
  <r>
    <x v="0"/>
    <x v="0"/>
    <x v="247"/>
    <x v="3"/>
    <s v="North Dakota"/>
    <s v="Fargo"/>
    <x v="1"/>
    <n v="0.3000000000000001"/>
    <n v="2750"/>
    <x v="651"/>
    <n v="288.75000000000006"/>
    <n v="0.35"/>
  </r>
  <r>
    <x v="0"/>
    <x v="0"/>
    <x v="247"/>
    <x v="3"/>
    <s v="North Dakota"/>
    <s v="Fargo"/>
    <x v="2"/>
    <n v="0.25000000000000006"/>
    <n v="2000"/>
    <x v="366"/>
    <n v="150.00000000000003"/>
    <n v="0.3"/>
  </r>
  <r>
    <x v="0"/>
    <x v="0"/>
    <x v="247"/>
    <x v="3"/>
    <s v="North Dakota"/>
    <s v="Fargo"/>
    <x v="3"/>
    <n v="0.25000000000000006"/>
    <n v="1750"/>
    <x v="706"/>
    <n v="131.25000000000003"/>
    <n v="0.3"/>
  </r>
  <r>
    <x v="0"/>
    <x v="0"/>
    <x v="247"/>
    <x v="3"/>
    <s v="North Dakota"/>
    <s v="Fargo"/>
    <x v="4"/>
    <n v="0.35000000000000003"/>
    <n v="1750"/>
    <x v="181"/>
    <n v="306.25000000000006"/>
    <n v="0.5"/>
  </r>
  <r>
    <x v="0"/>
    <x v="0"/>
    <x v="247"/>
    <x v="3"/>
    <s v="North Dakota"/>
    <s v="Fargo"/>
    <x v="5"/>
    <n v="0.55000000000000004"/>
    <n v="3250"/>
    <x v="255"/>
    <n v="715.00000000000011"/>
    <n v="0.4"/>
  </r>
  <r>
    <x v="0"/>
    <x v="0"/>
    <x v="116"/>
    <x v="3"/>
    <s v="North Dakota"/>
    <s v="Fargo"/>
    <x v="0"/>
    <n v="0.5"/>
    <n v="5500"/>
    <x v="80"/>
    <n v="825"/>
    <n v="0.3"/>
  </r>
  <r>
    <x v="0"/>
    <x v="0"/>
    <x v="116"/>
    <x v="3"/>
    <s v="North Dakota"/>
    <s v="Fargo"/>
    <x v="1"/>
    <n v="0.45000000000000007"/>
    <n v="3000"/>
    <x v="139"/>
    <n v="472.50000000000006"/>
    <n v="0.35"/>
  </r>
  <r>
    <x v="0"/>
    <x v="0"/>
    <x v="116"/>
    <x v="3"/>
    <s v="North Dakota"/>
    <s v="Fargo"/>
    <x v="2"/>
    <n v="0.4"/>
    <n v="2250"/>
    <x v="124"/>
    <n v="270"/>
    <n v="0.3"/>
  </r>
  <r>
    <x v="0"/>
    <x v="0"/>
    <x v="116"/>
    <x v="3"/>
    <s v="North Dakota"/>
    <s v="Fargo"/>
    <x v="3"/>
    <n v="0.4"/>
    <n v="1750"/>
    <x v="135"/>
    <n v="210"/>
    <n v="0.3"/>
  </r>
  <r>
    <x v="0"/>
    <x v="0"/>
    <x v="116"/>
    <x v="3"/>
    <s v="North Dakota"/>
    <s v="Fargo"/>
    <x v="4"/>
    <n v="0.5"/>
    <n v="2000"/>
    <x v="123"/>
    <n v="500"/>
    <n v="0.5"/>
  </r>
  <r>
    <x v="0"/>
    <x v="0"/>
    <x v="116"/>
    <x v="3"/>
    <s v="North Dakota"/>
    <s v="Fargo"/>
    <x v="5"/>
    <n v="0.55000000000000004"/>
    <n v="3750"/>
    <x v="138"/>
    <n v="825"/>
    <n v="0.4"/>
  </r>
  <r>
    <x v="0"/>
    <x v="0"/>
    <x v="208"/>
    <x v="3"/>
    <s v="North Dakota"/>
    <s v="Fargo"/>
    <x v="0"/>
    <n v="0.5"/>
    <n v="5250"/>
    <x v="48"/>
    <n v="787.5"/>
    <n v="0.3"/>
  </r>
  <r>
    <x v="0"/>
    <x v="0"/>
    <x v="208"/>
    <x v="3"/>
    <s v="North Dakota"/>
    <s v="Fargo"/>
    <x v="1"/>
    <n v="0.45000000000000007"/>
    <n v="3000"/>
    <x v="139"/>
    <n v="472.50000000000006"/>
    <n v="0.35"/>
  </r>
  <r>
    <x v="0"/>
    <x v="0"/>
    <x v="208"/>
    <x v="3"/>
    <s v="North Dakota"/>
    <s v="Fargo"/>
    <x v="2"/>
    <n v="0.4"/>
    <n v="2250"/>
    <x v="124"/>
    <n v="270"/>
    <n v="0.3"/>
  </r>
  <r>
    <x v="0"/>
    <x v="0"/>
    <x v="208"/>
    <x v="3"/>
    <s v="North Dakota"/>
    <s v="Fargo"/>
    <x v="3"/>
    <n v="0.4"/>
    <n v="2000"/>
    <x v="134"/>
    <n v="240"/>
    <n v="0.3"/>
  </r>
  <r>
    <x v="0"/>
    <x v="0"/>
    <x v="208"/>
    <x v="3"/>
    <s v="North Dakota"/>
    <s v="Fargo"/>
    <x v="4"/>
    <n v="0.5"/>
    <n v="1750"/>
    <x v="131"/>
    <n v="437.5"/>
    <n v="0.5"/>
  </r>
  <r>
    <x v="0"/>
    <x v="0"/>
    <x v="208"/>
    <x v="3"/>
    <s v="North Dakota"/>
    <s v="Fargo"/>
    <x v="5"/>
    <n v="0.55000000000000004"/>
    <n v="3500"/>
    <x v="136"/>
    <n v="770.00000000000011"/>
    <n v="0.4"/>
  </r>
  <r>
    <x v="0"/>
    <x v="0"/>
    <x v="248"/>
    <x v="3"/>
    <s v="North Dakota"/>
    <s v="Fargo"/>
    <x v="0"/>
    <n v="0.35000000000000003"/>
    <n v="4750"/>
    <x v="394"/>
    <n v="498.75000000000006"/>
    <n v="0.3"/>
  </r>
  <r>
    <x v="0"/>
    <x v="0"/>
    <x v="248"/>
    <x v="3"/>
    <s v="North Dakota"/>
    <s v="Fargo"/>
    <x v="1"/>
    <n v="0.3000000000000001"/>
    <n v="2750"/>
    <x v="651"/>
    <n v="288.75000000000006"/>
    <n v="0.35"/>
  </r>
  <r>
    <x v="0"/>
    <x v="0"/>
    <x v="248"/>
    <x v="3"/>
    <s v="North Dakota"/>
    <s v="Fargo"/>
    <x v="2"/>
    <n v="0.25000000000000006"/>
    <n v="1750"/>
    <x v="706"/>
    <n v="131.25000000000003"/>
    <n v="0.3"/>
  </r>
  <r>
    <x v="0"/>
    <x v="0"/>
    <x v="248"/>
    <x v="3"/>
    <s v="North Dakota"/>
    <s v="Fargo"/>
    <x v="3"/>
    <n v="0.25000000000000006"/>
    <n v="1500"/>
    <x v="372"/>
    <n v="112.50000000000001"/>
    <n v="0.3"/>
  </r>
  <r>
    <x v="0"/>
    <x v="0"/>
    <x v="248"/>
    <x v="3"/>
    <s v="North Dakota"/>
    <s v="Fargo"/>
    <x v="4"/>
    <n v="0.35000000000000003"/>
    <n v="1500"/>
    <x v="311"/>
    <n v="262.5"/>
    <n v="0.5"/>
  </r>
  <r>
    <x v="0"/>
    <x v="0"/>
    <x v="248"/>
    <x v="3"/>
    <s v="North Dakota"/>
    <s v="Fargo"/>
    <x v="5"/>
    <n v="0.4"/>
    <n v="2250"/>
    <x v="124"/>
    <n v="360"/>
    <n v="0.4"/>
  </r>
  <r>
    <x v="0"/>
    <x v="0"/>
    <x v="249"/>
    <x v="3"/>
    <s v="North Dakota"/>
    <s v="Fargo"/>
    <x v="0"/>
    <n v="0.44999999999999996"/>
    <n v="4000"/>
    <x v="451"/>
    <n v="539.99999999999989"/>
    <n v="0.3"/>
  </r>
  <r>
    <x v="0"/>
    <x v="0"/>
    <x v="249"/>
    <x v="3"/>
    <s v="North Dakota"/>
    <s v="Fargo"/>
    <x v="1"/>
    <n v="0.35000000000000003"/>
    <n v="2500"/>
    <x v="622"/>
    <n v="306.25"/>
    <n v="0.35"/>
  </r>
  <r>
    <x v="0"/>
    <x v="0"/>
    <x v="249"/>
    <x v="3"/>
    <s v="North Dakota"/>
    <s v="Fargo"/>
    <x v="2"/>
    <n v="0.35000000000000003"/>
    <n v="1500"/>
    <x v="311"/>
    <n v="157.5"/>
    <n v="0.3"/>
  </r>
  <r>
    <x v="0"/>
    <x v="0"/>
    <x v="249"/>
    <x v="3"/>
    <s v="North Dakota"/>
    <s v="Fargo"/>
    <x v="3"/>
    <n v="0.35000000000000003"/>
    <n v="1250"/>
    <x v="620"/>
    <n v="131.25"/>
    <n v="0.3"/>
  </r>
  <r>
    <x v="0"/>
    <x v="0"/>
    <x v="249"/>
    <x v="3"/>
    <s v="North Dakota"/>
    <s v="Fargo"/>
    <x v="4"/>
    <n v="0.44999999999999996"/>
    <n v="1250"/>
    <x v="180"/>
    <n v="281.25"/>
    <n v="0.5"/>
  </r>
  <r>
    <x v="0"/>
    <x v="0"/>
    <x v="249"/>
    <x v="3"/>
    <s v="North Dakota"/>
    <s v="Fargo"/>
    <x v="5"/>
    <n v="0.49999999999999983"/>
    <n v="2500"/>
    <x v="707"/>
    <n v="499.99999999999983"/>
    <n v="0.4"/>
  </r>
  <r>
    <x v="0"/>
    <x v="0"/>
    <x v="210"/>
    <x v="3"/>
    <s v="North Dakota"/>
    <s v="Fargo"/>
    <x v="0"/>
    <n v="0.44999999999999996"/>
    <n v="4000"/>
    <x v="451"/>
    <n v="539.99999999999989"/>
    <n v="0.3"/>
  </r>
  <r>
    <x v="0"/>
    <x v="0"/>
    <x v="210"/>
    <x v="3"/>
    <s v="North Dakota"/>
    <s v="Fargo"/>
    <x v="1"/>
    <n v="0.35000000000000003"/>
    <n v="2750"/>
    <x v="117"/>
    <n v="336.875"/>
    <n v="0.35"/>
  </r>
  <r>
    <x v="0"/>
    <x v="0"/>
    <x v="210"/>
    <x v="3"/>
    <s v="North Dakota"/>
    <s v="Fargo"/>
    <x v="2"/>
    <n v="0.35000000000000003"/>
    <n v="2200"/>
    <x v="708"/>
    <n v="231.00000000000003"/>
    <n v="0.3"/>
  </r>
  <r>
    <x v="0"/>
    <x v="0"/>
    <x v="210"/>
    <x v="3"/>
    <s v="North Dakota"/>
    <s v="Fargo"/>
    <x v="3"/>
    <n v="0.35000000000000003"/>
    <n v="2000"/>
    <x v="320"/>
    <n v="210.00000000000003"/>
    <n v="0.3"/>
  </r>
  <r>
    <x v="0"/>
    <x v="0"/>
    <x v="210"/>
    <x v="3"/>
    <s v="North Dakota"/>
    <s v="Fargo"/>
    <x v="4"/>
    <n v="0.6"/>
    <n v="1750"/>
    <x v="202"/>
    <n v="525"/>
    <n v="0.5"/>
  </r>
  <r>
    <x v="0"/>
    <x v="0"/>
    <x v="210"/>
    <x v="3"/>
    <s v="North Dakota"/>
    <s v="Fargo"/>
    <x v="5"/>
    <n v="0.64999999999999991"/>
    <n v="2750"/>
    <x v="410"/>
    <n v="715"/>
    <n v="0.4"/>
  </r>
  <r>
    <x v="0"/>
    <x v="0"/>
    <x v="211"/>
    <x v="3"/>
    <s v="North Dakota"/>
    <s v="Fargo"/>
    <x v="0"/>
    <n v="0.6"/>
    <n v="5250"/>
    <x v="40"/>
    <n v="945"/>
    <n v="0.3"/>
  </r>
  <r>
    <x v="0"/>
    <x v="0"/>
    <x v="211"/>
    <x v="3"/>
    <s v="North Dakota"/>
    <s v="Fargo"/>
    <x v="1"/>
    <n v="0.5"/>
    <n v="3250"/>
    <x v="132"/>
    <n v="568.75"/>
    <n v="0.35"/>
  </r>
  <r>
    <x v="0"/>
    <x v="0"/>
    <x v="211"/>
    <x v="3"/>
    <s v="North Dakota"/>
    <s v="Fargo"/>
    <x v="2"/>
    <n v="0.5"/>
    <n v="2750"/>
    <x v="140"/>
    <n v="412.5"/>
    <n v="0.3"/>
  </r>
  <r>
    <x v="0"/>
    <x v="0"/>
    <x v="211"/>
    <x v="3"/>
    <s v="North Dakota"/>
    <s v="Fargo"/>
    <x v="3"/>
    <n v="0.5"/>
    <n v="2250"/>
    <x v="127"/>
    <n v="337.5"/>
    <n v="0.3"/>
  </r>
  <r>
    <x v="0"/>
    <x v="0"/>
    <x v="211"/>
    <x v="3"/>
    <s v="North Dakota"/>
    <s v="Fargo"/>
    <x v="4"/>
    <n v="0.6"/>
    <n v="2250"/>
    <x v="198"/>
    <n v="675"/>
    <n v="0.5"/>
  </r>
  <r>
    <x v="0"/>
    <x v="0"/>
    <x v="211"/>
    <x v="3"/>
    <s v="North Dakota"/>
    <s v="Fargo"/>
    <x v="5"/>
    <n v="0.64999999999999991"/>
    <n v="3250"/>
    <x v="262"/>
    <n v="844.99999999999989"/>
    <n v="0.4"/>
  </r>
  <r>
    <x v="0"/>
    <x v="0"/>
    <x v="66"/>
    <x v="3"/>
    <s v="Iowa"/>
    <s v="Des Moines"/>
    <x v="0"/>
    <n v="0.30000000000000004"/>
    <n v="4500"/>
    <x v="139"/>
    <n v="405.00000000000006"/>
    <n v="0.3"/>
  </r>
  <r>
    <x v="0"/>
    <x v="0"/>
    <x v="66"/>
    <x v="3"/>
    <s v="Iowa"/>
    <s v="Des Moines"/>
    <x v="1"/>
    <n v="0.30000000000000004"/>
    <n v="2500"/>
    <x v="398"/>
    <n v="262.5"/>
    <n v="0.35"/>
  </r>
  <r>
    <x v="0"/>
    <x v="0"/>
    <x v="66"/>
    <x v="3"/>
    <s v="Iowa"/>
    <s v="Des Moines"/>
    <x v="2"/>
    <n v="0.20000000000000007"/>
    <n v="2500"/>
    <x v="697"/>
    <n v="150.00000000000006"/>
    <n v="0.3"/>
  </r>
  <r>
    <x v="0"/>
    <x v="0"/>
    <x v="66"/>
    <x v="3"/>
    <s v="Iowa"/>
    <s v="Des Moines"/>
    <x v="3"/>
    <n v="0.25000000000000006"/>
    <n v="1000"/>
    <x v="677"/>
    <n v="75.000000000000014"/>
    <n v="0.3"/>
  </r>
  <r>
    <x v="0"/>
    <x v="0"/>
    <x v="66"/>
    <x v="3"/>
    <s v="Iowa"/>
    <s v="Des Moines"/>
    <x v="4"/>
    <n v="0.39999999999999997"/>
    <n v="1500"/>
    <x v="128"/>
    <n v="300"/>
    <n v="0.5"/>
  </r>
  <r>
    <x v="0"/>
    <x v="0"/>
    <x v="66"/>
    <x v="3"/>
    <s v="Iowa"/>
    <s v="Des Moines"/>
    <x v="5"/>
    <n v="0.30000000000000004"/>
    <n v="2500"/>
    <x v="398"/>
    <n v="300.00000000000006"/>
    <n v="0.4"/>
  </r>
  <r>
    <x v="0"/>
    <x v="0"/>
    <x v="67"/>
    <x v="3"/>
    <s v="Iowa"/>
    <s v="Des Moines"/>
    <x v="0"/>
    <n v="0.30000000000000004"/>
    <n v="5000"/>
    <x v="192"/>
    <n v="450.00000000000006"/>
    <n v="0.3"/>
  </r>
  <r>
    <x v="0"/>
    <x v="0"/>
    <x v="67"/>
    <x v="3"/>
    <s v="Iowa"/>
    <s v="Des Moines"/>
    <x v="1"/>
    <n v="0.30000000000000004"/>
    <n v="1500"/>
    <x v="362"/>
    <n v="157.5"/>
    <n v="0.35"/>
  </r>
  <r>
    <x v="0"/>
    <x v="0"/>
    <x v="67"/>
    <x v="3"/>
    <s v="Iowa"/>
    <s v="Des Moines"/>
    <x v="2"/>
    <n v="0.20000000000000007"/>
    <n v="2000"/>
    <x v="698"/>
    <n v="120.00000000000003"/>
    <n v="0.3"/>
  </r>
  <r>
    <x v="0"/>
    <x v="0"/>
    <x v="67"/>
    <x v="3"/>
    <s v="Iowa"/>
    <s v="Des Moines"/>
    <x v="3"/>
    <n v="0.25000000000000006"/>
    <n v="750"/>
    <x v="364"/>
    <n v="56.250000000000007"/>
    <n v="0.3"/>
  </r>
  <r>
    <x v="0"/>
    <x v="0"/>
    <x v="67"/>
    <x v="3"/>
    <s v="Iowa"/>
    <s v="Des Moines"/>
    <x v="4"/>
    <n v="0.39999999999999997"/>
    <n v="1500"/>
    <x v="128"/>
    <n v="300"/>
    <n v="0.5"/>
  </r>
  <r>
    <x v="0"/>
    <x v="0"/>
    <x v="67"/>
    <x v="3"/>
    <s v="Iowa"/>
    <s v="Des Moines"/>
    <x v="5"/>
    <n v="0.14999999999999997"/>
    <n v="2500"/>
    <x v="699"/>
    <n v="149.99999999999997"/>
    <n v="0.4"/>
  </r>
  <r>
    <x v="0"/>
    <x v="0"/>
    <x v="68"/>
    <x v="3"/>
    <s v="Iowa"/>
    <s v="Des Moines"/>
    <x v="0"/>
    <n v="0.20000000000000004"/>
    <n v="4700"/>
    <x v="700"/>
    <n v="282.00000000000006"/>
    <n v="0.3"/>
  </r>
  <r>
    <x v="0"/>
    <x v="0"/>
    <x v="68"/>
    <x v="3"/>
    <s v="Iowa"/>
    <s v="Des Moines"/>
    <x v="1"/>
    <n v="0.20000000000000004"/>
    <n v="1750"/>
    <x v="367"/>
    <n v="122.50000000000001"/>
    <n v="0.35"/>
  </r>
  <r>
    <x v="0"/>
    <x v="0"/>
    <x v="68"/>
    <x v="3"/>
    <s v="Iowa"/>
    <s v="Des Moines"/>
    <x v="2"/>
    <n v="0.10000000000000003"/>
    <n v="2250"/>
    <x v="701"/>
    <n v="67.500000000000028"/>
    <n v="0.3"/>
  </r>
  <r>
    <x v="0"/>
    <x v="0"/>
    <x v="68"/>
    <x v="3"/>
    <s v="Iowa"/>
    <s v="Des Moines"/>
    <x v="3"/>
    <n v="0.14999999999999997"/>
    <n v="750"/>
    <x v="709"/>
    <n v="33.749999999999993"/>
    <n v="0.3"/>
  </r>
  <r>
    <x v="0"/>
    <x v="0"/>
    <x v="68"/>
    <x v="3"/>
    <s v="Iowa"/>
    <s v="Des Moines"/>
    <x v="4"/>
    <n v="0.30000000000000004"/>
    <n v="1250"/>
    <x v="372"/>
    <n v="187.50000000000003"/>
    <n v="0.5"/>
  </r>
  <r>
    <x v="0"/>
    <x v="0"/>
    <x v="68"/>
    <x v="3"/>
    <s v="Iowa"/>
    <s v="Des Moines"/>
    <x v="5"/>
    <n v="0.20000000000000004"/>
    <n v="2250"/>
    <x v="692"/>
    <n v="180.00000000000006"/>
    <n v="0.4"/>
  </r>
  <r>
    <x v="0"/>
    <x v="0"/>
    <x v="69"/>
    <x v="3"/>
    <s v="Iowa"/>
    <s v="Des Moines"/>
    <x v="0"/>
    <n v="0.20000000000000004"/>
    <n v="4500"/>
    <x v="710"/>
    <n v="270.00000000000006"/>
    <n v="0.3"/>
  </r>
  <r>
    <x v="0"/>
    <x v="0"/>
    <x v="69"/>
    <x v="3"/>
    <s v="Iowa"/>
    <s v="Des Moines"/>
    <x v="1"/>
    <n v="0.20000000000000004"/>
    <n v="1500"/>
    <x v="309"/>
    <n v="105.00000000000001"/>
    <n v="0.35"/>
  </r>
  <r>
    <x v="0"/>
    <x v="0"/>
    <x v="69"/>
    <x v="3"/>
    <s v="Iowa"/>
    <s v="Des Moines"/>
    <x v="2"/>
    <n v="0.10000000000000003"/>
    <n v="1500"/>
    <x v="711"/>
    <n v="45.000000000000014"/>
    <n v="0.3"/>
  </r>
  <r>
    <x v="0"/>
    <x v="0"/>
    <x v="69"/>
    <x v="3"/>
    <s v="Iowa"/>
    <s v="Des Moines"/>
    <x v="3"/>
    <n v="0.14999999999999997"/>
    <n v="750"/>
    <x v="709"/>
    <n v="33.749999999999993"/>
    <n v="0.3"/>
  </r>
  <r>
    <x v="0"/>
    <x v="0"/>
    <x v="69"/>
    <x v="3"/>
    <s v="Iowa"/>
    <s v="Des Moines"/>
    <x v="4"/>
    <n v="0.6"/>
    <n v="1000"/>
    <x v="128"/>
    <n v="300"/>
    <n v="0.5"/>
  </r>
  <r>
    <x v="0"/>
    <x v="0"/>
    <x v="69"/>
    <x v="3"/>
    <s v="Iowa"/>
    <s v="Des Moines"/>
    <x v="5"/>
    <n v="0.5"/>
    <n v="2250"/>
    <x v="127"/>
    <n v="450"/>
    <n v="0.4"/>
  </r>
  <r>
    <x v="0"/>
    <x v="0"/>
    <x v="70"/>
    <x v="3"/>
    <s v="Iowa"/>
    <s v="Des Moines"/>
    <x v="0"/>
    <n v="0.6"/>
    <n v="4950"/>
    <x v="129"/>
    <n v="891"/>
    <n v="0.3"/>
  </r>
  <r>
    <x v="0"/>
    <x v="0"/>
    <x v="70"/>
    <x v="3"/>
    <s v="Iowa"/>
    <s v="Des Moines"/>
    <x v="1"/>
    <n v="0.4"/>
    <n v="2000"/>
    <x v="134"/>
    <n v="280"/>
    <n v="0.35"/>
  </r>
  <r>
    <x v="0"/>
    <x v="0"/>
    <x v="70"/>
    <x v="3"/>
    <s v="Iowa"/>
    <s v="Des Moines"/>
    <x v="2"/>
    <n v="0.35000000000000003"/>
    <n v="1750"/>
    <x v="181"/>
    <n v="183.75000000000003"/>
    <n v="0.3"/>
  </r>
  <r>
    <x v="0"/>
    <x v="0"/>
    <x v="70"/>
    <x v="3"/>
    <s v="Iowa"/>
    <s v="Des Moines"/>
    <x v="3"/>
    <n v="0.35000000000000003"/>
    <n v="1500"/>
    <x v="311"/>
    <n v="157.5"/>
    <n v="0.3"/>
  </r>
  <r>
    <x v="0"/>
    <x v="0"/>
    <x v="70"/>
    <x v="3"/>
    <s v="Iowa"/>
    <s v="Des Moines"/>
    <x v="4"/>
    <n v="0.44999999999999996"/>
    <n v="1750"/>
    <x v="474"/>
    <n v="393.74999999999994"/>
    <n v="0.5"/>
  </r>
  <r>
    <x v="0"/>
    <x v="0"/>
    <x v="70"/>
    <x v="3"/>
    <s v="Iowa"/>
    <s v="Des Moines"/>
    <x v="5"/>
    <n v="0.49999999999999994"/>
    <n v="3000"/>
    <x v="167"/>
    <n v="599.99999999999989"/>
    <n v="0.4"/>
  </r>
  <r>
    <x v="0"/>
    <x v="0"/>
    <x v="71"/>
    <x v="3"/>
    <s v="Iowa"/>
    <s v="Des Moines"/>
    <x v="0"/>
    <n v="0.35000000000000003"/>
    <n v="5500"/>
    <x v="136"/>
    <n v="577.5"/>
    <n v="0.3"/>
  </r>
  <r>
    <x v="0"/>
    <x v="0"/>
    <x v="71"/>
    <x v="3"/>
    <s v="Iowa"/>
    <s v="Des Moines"/>
    <x v="1"/>
    <n v="0.3000000000000001"/>
    <n v="3000"/>
    <x v="712"/>
    <n v="315.00000000000011"/>
    <n v="0.35"/>
  </r>
  <r>
    <x v="0"/>
    <x v="0"/>
    <x v="71"/>
    <x v="3"/>
    <s v="Iowa"/>
    <s v="Des Moines"/>
    <x v="2"/>
    <n v="0.25000000000000006"/>
    <n v="2000"/>
    <x v="366"/>
    <n v="150.00000000000003"/>
    <n v="0.3"/>
  </r>
  <r>
    <x v="0"/>
    <x v="0"/>
    <x v="71"/>
    <x v="3"/>
    <s v="Iowa"/>
    <s v="Des Moines"/>
    <x v="3"/>
    <n v="0.25000000000000006"/>
    <n v="1750"/>
    <x v="706"/>
    <n v="131.25000000000003"/>
    <n v="0.3"/>
  </r>
  <r>
    <x v="0"/>
    <x v="0"/>
    <x v="71"/>
    <x v="3"/>
    <s v="Iowa"/>
    <s v="Des Moines"/>
    <x v="4"/>
    <n v="0.35000000000000003"/>
    <n v="1750"/>
    <x v="181"/>
    <n v="306.25000000000006"/>
    <n v="0.5"/>
  </r>
  <r>
    <x v="0"/>
    <x v="0"/>
    <x v="71"/>
    <x v="3"/>
    <s v="Iowa"/>
    <s v="Des Moines"/>
    <x v="5"/>
    <n v="0.55000000000000004"/>
    <n v="3250"/>
    <x v="255"/>
    <n v="715.00000000000011"/>
    <n v="0.4"/>
  </r>
  <r>
    <x v="0"/>
    <x v="0"/>
    <x v="72"/>
    <x v="3"/>
    <s v="Iowa"/>
    <s v="Des Moines"/>
    <x v="0"/>
    <n v="0.5"/>
    <n v="5500"/>
    <x v="80"/>
    <n v="825"/>
    <n v="0.3"/>
  </r>
  <r>
    <x v="0"/>
    <x v="0"/>
    <x v="72"/>
    <x v="3"/>
    <s v="Iowa"/>
    <s v="Des Moines"/>
    <x v="1"/>
    <n v="0.45000000000000007"/>
    <n v="3000"/>
    <x v="139"/>
    <n v="472.50000000000006"/>
    <n v="0.35"/>
  </r>
  <r>
    <x v="0"/>
    <x v="0"/>
    <x v="72"/>
    <x v="3"/>
    <s v="Iowa"/>
    <s v="Des Moines"/>
    <x v="2"/>
    <n v="0.4"/>
    <n v="2250"/>
    <x v="124"/>
    <n v="270"/>
    <n v="0.3"/>
  </r>
  <r>
    <x v="0"/>
    <x v="0"/>
    <x v="72"/>
    <x v="3"/>
    <s v="Iowa"/>
    <s v="Des Moines"/>
    <x v="3"/>
    <n v="0.4"/>
    <n v="1750"/>
    <x v="135"/>
    <n v="210"/>
    <n v="0.3"/>
  </r>
  <r>
    <x v="0"/>
    <x v="0"/>
    <x v="72"/>
    <x v="3"/>
    <s v="Iowa"/>
    <s v="Des Moines"/>
    <x v="4"/>
    <n v="0.5"/>
    <n v="2000"/>
    <x v="123"/>
    <n v="500"/>
    <n v="0.5"/>
  </r>
  <r>
    <x v="0"/>
    <x v="0"/>
    <x v="72"/>
    <x v="3"/>
    <s v="Iowa"/>
    <s v="Des Moines"/>
    <x v="5"/>
    <n v="0.55000000000000004"/>
    <n v="3750"/>
    <x v="138"/>
    <n v="825"/>
    <n v="0.4"/>
  </r>
  <r>
    <x v="0"/>
    <x v="0"/>
    <x v="73"/>
    <x v="3"/>
    <s v="Iowa"/>
    <s v="Des Moines"/>
    <x v="0"/>
    <n v="0.5"/>
    <n v="5250"/>
    <x v="48"/>
    <n v="787.5"/>
    <n v="0.3"/>
  </r>
  <r>
    <x v="0"/>
    <x v="0"/>
    <x v="73"/>
    <x v="3"/>
    <s v="Iowa"/>
    <s v="Des Moines"/>
    <x v="1"/>
    <n v="0.45000000000000007"/>
    <n v="3000"/>
    <x v="139"/>
    <n v="472.50000000000006"/>
    <n v="0.35"/>
  </r>
  <r>
    <x v="0"/>
    <x v="0"/>
    <x v="73"/>
    <x v="3"/>
    <s v="Iowa"/>
    <s v="Des Moines"/>
    <x v="2"/>
    <n v="0.4"/>
    <n v="2250"/>
    <x v="124"/>
    <n v="270"/>
    <n v="0.3"/>
  </r>
  <r>
    <x v="0"/>
    <x v="0"/>
    <x v="73"/>
    <x v="3"/>
    <s v="Iowa"/>
    <s v="Des Moines"/>
    <x v="3"/>
    <n v="0.4"/>
    <n v="2000"/>
    <x v="134"/>
    <n v="240"/>
    <n v="0.3"/>
  </r>
  <r>
    <x v="0"/>
    <x v="0"/>
    <x v="73"/>
    <x v="3"/>
    <s v="Iowa"/>
    <s v="Des Moines"/>
    <x v="4"/>
    <n v="0.5"/>
    <n v="1750"/>
    <x v="131"/>
    <n v="437.5"/>
    <n v="0.5"/>
  </r>
  <r>
    <x v="0"/>
    <x v="0"/>
    <x v="73"/>
    <x v="3"/>
    <s v="Iowa"/>
    <s v="Des Moines"/>
    <x v="5"/>
    <n v="0.55000000000000004"/>
    <n v="3500"/>
    <x v="136"/>
    <n v="770.00000000000011"/>
    <n v="0.4"/>
  </r>
  <r>
    <x v="0"/>
    <x v="0"/>
    <x v="74"/>
    <x v="3"/>
    <s v="Iowa"/>
    <s v="Des Moines"/>
    <x v="0"/>
    <n v="0.35000000000000003"/>
    <n v="4750"/>
    <x v="394"/>
    <n v="498.75000000000006"/>
    <n v="0.3"/>
  </r>
  <r>
    <x v="0"/>
    <x v="0"/>
    <x v="74"/>
    <x v="3"/>
    <s v="Iowa"/>
    <s v="Des Moines"/>
    <x v="1"/>
    <n v="0.3000000000000001"/>
    <n v="2500"/>
    <x v="388"/>
    <n v="262.50000000000006"/>
    <n v="0.35"/>
  </r>
  <r>
    <x v="0"/>
    <x v="0"/>
    <x v="74"/>
    <x v="3"/>
    <s v="Iowa"/>
    <s v="Des Moines"/>
    <x v="2"/>
    <n v="0.25000000000000006"/>
    <n v="1500"/>
    <x v="372"/>
    <n v="112.50000000000001"/>
    <n v="0.3"/>
  </r>
  <r>
    <x v="0"/>
    <x v="0"/>
    <x v="74"/>
    <x v="3"/>
    <s v="Iowa"/>
    <s v="Des Moines"/>
    <x v="3"/>
    <n v="0.25000000000000006"/>
    <n v="1250"/>
    <x v="713"/>
    <n v="93.750000000000014"/>
    <n v="0.3"/>
  </r>
  <r>
    <x v="0"/>
    <x v="0"/>
    <x v="74"/>
    <x v="3"/>
    <s v="Iowa"/>
    <s v="Des Moines"/>
    <x v="4"/>
    <n v="0.35000000000000003"/>
    <n v="1250"/>
    <x v="620"/>
    <n v="218.75000000000003"/>
    <n v="0.5"/>
  </r>
  <r>
    <x v="0"/>
    <x v="0"/>
    <x v="74"/>
    <x v="3"/>
    <s v="Iowa"/>
    <s v="Des Moines"/>
    <x v="5"/>
    <n v="0.4"/>
    <n v="2000"/>
    <x v="134"/>
    <n v="320"/>
    <n v="0.4"/>
  </r>
  <r>
    <x v="0"/>
    <x v="0"/>
    <x v="75"/>
    <x v="3"/>
    <s v="Iowa"/>
    <s v="Des Moines"/>
    <x v="0"/>
    <n v="0.44999999999999996"/>
    <n v="3750"/>
    <x v="325"/>
    <n v="506.24999999999989"/>
    <n v="0.3"/>
  </r>
  <r>
    <x v="0"/>
    <x v="0"/>
    <x v="75"/>
    <x v="3"/>
    <s v="Iowa"/>
    <s v="Des Moines"/>
    <x v="1"/>
    <n v="0.35000000000000003"/>
    <n v="2250"/>
    <x v="121"/>
    <n v="275.625"/>
    <n v="0.35"/>
  </r>
  <r>
    <x v="0"/>
    <x v="0"/>
    <x v="75"/>
    <x v="3"/>
    <s v="Iowa"/>
    <s v="Des Moines"/>
    <x v="2"/>
    <n v="0.35000000000000003"/>
    <n v="1250"/>
    <x v="620"/>
    <n v="131.25"/>
    <n v="0.3"/>
  </r>
  <r>
    <x v="0"/>
    <x v="0"/>
    <x v="75"/>
    <x v="3"/>
    <s v="Iowa"/>
    <s v="Des Moines"/>
    <x v="3"/>
    <n v="0.35000000000000003"/>
    <n v="1250"/>
    <x v="620"/>
    <n v="131.25"/>
    <n v="0.3"/>
  </r>
  <r>
    <x v="0"/>
    <x v="0"/>
    <x v="75"/>
    <x v="3"/>
    <s v="Iowa"/>
    <s v="Des Moines"/>
    <x v="4"/>
    <n v="0.44999999999999996"/>
    <n v="1250"/>
    <x v="180"/>
    <n v="281.25"/>
    <n v="0.5"/>
  </r>
  <r>
    <x v="0"/>
    <x v="0"/>
    <x v="75"/>
    <x v="3"/>
    <s v="Iowa"/>
    <s v="Des Moines"/>
    <x v="5"/>
    <n v="0.49999999999999983"/>
    <n v="2500"/>
    <x v="707"/>
    <n v="499.99999999999983"/>
    <n v="0.4"/>
  </r>
  <r>
    <x v="0"/>
    <x v="0"/>
    <x v="76"/>
    <x v="3"/>
    <s v="Iowa"/>
    <s v="Des Moines"/>
    <x v="0"/>
    <n v="0.44999999999999996"/>
    <n v="4000"/>
    <x v="451"/>
    <n v="539.99999999999989"/>
    <n v="0.3"/>
  </r>
  <r>
    <x v="0"/>
    <x v="0"/>
    <x v="76"/>
    <x v="3"/>
    <s v="Iowa"/>
    <s v="Des Moines"/>
    <x v="1"/>
    <n v="0.35000000000000003"/>
    <n v="3000"/>
    <x v="202"/>
    <n v="367.5"/>
    <n v="0.35"/>
  </r>
  <r>
    <x v="0"/>
    <x v="0"/>
    <x v="76"/>
    <x v="3"/>
    <s v="Iowa"/>
    <s v="Des Moines"/>
    <x v="2"/>
    <n v="0.35000000000000003"/>
    <n v="2450"/>
    <x v="714"/>
    <n v="257.25"/>
    <n v="0.3"/>
  </r>
  <r>
    <x v="0"/>
    <x v="0"/>
    <x v="76"/>
    <x v="3"/>
    <s v="Iowa"/>
    <s v="Des Moines"/>
    <x v="3"/>
    <n v="0.35000000000000003"/>
    <n v="2250"/>
    <x v="121"/>
    <n v="236.25000000000003"/>
    <n v="0.3"/>
  </r>
  <r>
    <x v="0"/>
    <x v="0"/>
    <x v="76"/>
    <x v="3"/>
    <s v="Iowa"/>
    <s v="Des Moines"/>
    <x v="4"/>
    <n v="0.6"/>
    <n v="2000"/>
    <x v="147"/>
    <n v="600"/>
    <n v="0.5"/>
  </r>
  <r>
    <x v="0"/>
    <x v="0"/>
    <x v="76"/>
    <x v="3"/>
    <s v="Iowa"/>
    <s v="Des Moines"/>
    <x v="5"/>
    <n v="0.64999999999999991"/>
    <n v="3000"/>
    <x v="148"/>
    <n v="780"/>
    <n v="0.4"/>
  </r>
  <r>
    <x v="0"/>
    <x v="0"/>
    <x v="77"/>
    <x v="3"/>
    <s v="Iowa"/>
    <s v="Des Moines"/>
    <x v="0"/>
    <n v="0.6"/>
    <n v="5500"/>
    <x v="211"/>
    <n v="990"/>
    <n v="0.3"/>
  </r>
  <r>
    <x v="0"/>
    <x v="0"/>
    <x v="77"/>
    <x v="3"/>
    <s v="Iowa"/>
    <s v="Des Moines"/>
    <x v="1"/>
    <n v="0.5"/>
    <n v="3500"/>
    <x v="157"/>
    <n v="612.5"/>
    <n v="0.35"/>
  </r>
  <r>
    <x v="0"/>
    <x v="0"/>
    <x v="77"/>
    <x v="3"/>
    <s v="Iowa"/>
    <s v="Des Moines"/>
    <x v="2"/>
    <n v="0.5"/>
    <n v="3000"/>
    <x v="146"/>
    <n v="450"/>
    <n v="0.3"/>
  </r>
  <r>
    <x v="0"/>
    <x v="0"/>
    <x v="77"/>
    <x v="3"/>
    <s v="Iowa"/>
    <s v="Des Moines"/>
    <x v="3"/>
    <n v="0.5"/>
    <n v="2500"/>
    <x v="142"/>
    <n v="375"/>
    <n v="0.3"/>
  </r>
  <r>
    <x v="0"/>
    <x v="0"/>
    <x v="77"/>
    <x v="3"/>
    <s v="Iowa"/>
    <s v="Des Moines"/>
    <x v="4"/>
    <n v="0.6"/>
    <n v="2500"/>
    <x v="146"/>
    <n v="750"/>
    <n v="0.5"/>
  </r>
  <r>
    <x v="0"/>
    <x v="0"/>
    <x v="77"/>
    <x v="3"/>
    <s v="Iowa"/>
    <s v="Des Moines"/>
    <x v="5"/>
    <n v="0.64999999999999991"/>
    <n v="3500"/>
    <x v="715"/>
    <n v="909.99999999999989"/>
    <n v="0.4"/>
  </r>
  <r>
    <x v="0"/>
    <x v="0"/>
    <x v="136"/>
    <x v="3"/>
    <s v="Wisconsin"/>
    <s v="Milwaukee"/>
    <x v="0"/>
    <n v="0.35000000000000003"/>
    <n v="5000"/>
    <x v="191"/>
    <n v="700.00000000000011"/>
    <n v="0.4"/>
  </r>
  <r>
    <x v="0"/>
    <x v="0"/>
    <x v="136"/>
    <x v="3"/>
    <s v="Wisconsin"/>
    <s v="Milwaukee"/>
    <x v="1"/>
    <n v="0.35000000000000003"/>
    <n v="3000"/>
    <x v="202"/>
    <n v="420"/>
    <n v="0.4"/>
  </r>
  <r>
    <x v="0"/>
    <x v="0"/>
    <x v="136"/>
    <x v="3"/>
    <s v="Wisconsin"/>
    <s v="Milwaukee"/>
    <x v="2"/>
    <n v="0.25000000000000006"/>
    <n v="3000"/>
    <x v="398"/>
    <n v="262.5"/>
    <n v="0.35"/>
  </r>
  <r>
    <x v="0"/>
    <x v="0"/>
    <x v="136"/>
    <x v="3"/>
    <s v="Wisconsin"/>
    <s v="Milwaukee"/>
    <x v="3"/>
    <n v="0.30000000000000004"/>
    <n v="1500"/>
    <x v="362"/>
    <n v="157.5"/>
    <n v="0.35"/>
  </r>
  <r>
    <x v="0"/>
    <x v="0"/>
    <x v="136"/>
    <x v="3"/>
    <s v="Wisconsin"/>
    <s v="Milwaukee"/>
    <x v="4"/>
    <n v="0.44999999999999996"/>
    <n v="2000"/>
    <x v="546"/>
    <n v="269.99999999999994"/>
    <n v="0.3"/>
  </r>
  <r>
    <x v="0"/>
    <x v="0"/>
    <x v="136"/>
    <x v="3"/>
    <s v="Wisconsin"/>
    <s v="Milwaukee"/>
    <x v="5"/>
    <n v="0.35000000000000003"/>
    <n v="3000"/>
    <x v="202"/>
    <n v="420"/>
    <n v="0.4"/>
  </r>
  <r>
    <x v="0"/>
    <x v="0"/>
    <x v="79"/>
    <x v="3"/>
    <s v="Wisconsin"/>
    <s v="Milwaukee"/>
    <x v="0"/>
    <n v="0.35000000000000003"/>
    <n v="5500"/>
    <x v="136"/>
    <n v="770.00000000000011"/>
    <n v="0.4"/>
  </r>
  <r>
    <x v="0"/>
    <x v="0"/>
    <x v="79"/>
    <x v="3"/>
    <s v="Wisconsin"/>
    <s v="Milwaukee"/>
    <x v="1"/>
    <n v="0.35000000000000003"/>
    <n v="2000"/>
    <x v="320"/>
    <n v="280.00000000000006"/>
    <n v="0.4"/>
  </r>
  <r>
    <x v="0"/>
    <x v="0"/>
    <x v="79"/>
    <x v="3"/>
    <s v="Wisconsin"/>
    <s v="Milwaukee"/>
    <x v="2"/>
    <n v="0.25000000000000006"/>
    <n v="2500"/>
    <x v="472"/>
    <n v="218.75000000000003"/>
    <n v="0.35"/>
  </r>
  <r>
    <x v="0"/>
    <x v="0"/>
    <x v="79"/>
    <x v="3"/>
    <s v="Wisconsin"/>
    <s v="Milwaukee"/>
    <x v="3"/>
    <n v="0.30000000000000004"/>
    <n v="1250"/>
    <x v="372"/>
    <n v="131.25"/>
    <n v="0.35"/>
  </r>
  <r>
    <x v="0"/>
    <x v="0"/>
    <x v="79"/>
    <x v="3"/>
    <s v="Wisconsin"/>
    <s v="Milwaukee"/>
    <x v="4"/>
    <n v="0.44999999999999996"/>
    <n v="2000"/>
    <x v="546"/>
    <n v="269.99999999999994"/>
    <n v="0.3"/>
  </r>
  <r>
    <x v="0"/>
    <x v="0"/>
    <x v="79"/>
    <x v="3"/>
    <s v="Wisconsin"/>
    <s v="Milwaukee"/>
    <x v="5"/>
    <n v="0.19999999999999996"/>
    <n v="3000"/>
    <x v="628"/>
    <n v="239.99999999999997"/>
    <n v="0.4"/>
  </r>
  <r>
    <x v="0"/>
    <x v="0"/>
    <x v="137"/>
    <x v="3"/>
    <s v="Wisconsin"/>
    <s v="Milwaukee"/>
    <x v="0"/>
    <n v="0.25000000000000006"/>
    <n v="5200"/>
    <x v="716"/>
    <n v="520.00000000000011"/>
    <n v="0.4"/>
  </r>
  <r>
    <x v="0"/>
    <x v="0"/>
    <x v="137"/>
    <x v="3"/>
    <s v="Wisconsin"/>
    <s v="Milwaukee"/>
    <x v="1"/>
    <n v="0.25000000000000006"/>
    <n v="2250"/>
    <x v="469"/>
    <n v="225.00000000000006"/>
    <n v="0.4"/>
  </r>
  <r>
    <x v="0"/>
    <x v="0"/>
    <x v="137"/>
    <x v="3"/>
    <s v="Wisconsin"/>
    <s v="Milwaukee"/>
    <x v="2"/>
    <n v="0.15000000000000002"/>
    <n v="2750"/>
    <x v="514"/>
    <n v="144.375"/>
    <n v="0.35"/>
  </r>
  <r>
    <x v="0"/>
    <x v="0"/>
    <x v="137"/>
    <x v="3"/>
    <s v="Wisconsin"/>
    <s v="Milwaukee"/>
    <x v="3"/>
    <n v="0.19999999999999996"/>
    <n v="1250"/>
    <x v="660"/>
    <n v="87.499999999999972"/>
    <n v="0.35"/>
  </r>
  <r>
    <x v="0"/>
    <x v="0"/>
    <x v="137"/>
    <x v="3"/>
    <s v="Wisconsin"/>
    <s v="Milwaukee"/>
    <x v="4"/>
    <n v="0.35000000000000003"/>
    <n v="1750"/>
    <x v="181"/>
    <n v="183.75000000000003"/>
    <n v="0.3"/>
  </r>
  <r>
    <x v="0"/>
    <x v="0"/>
    <x v="137"/>
    <x v="3"/>
    <s v="Wisconsin"/>
    <s v="Milwaukee"/>
    <x v="5"/>
    <n v="0.25000000000000006"/>
    <n v="2750"/>
    <x v="502"/>
    <n v="275.00000000000006"/>
    <n v="0.4"/>
  </r>
  <r>
    <x v="0"/>
    <x v="0"/>
    <x v="138"/>
    <x v="3"/>
    <s v="Wisconsin"/>
    <s v="Milwaukee"/>
    <x v="0"/>
    <n v="0.25000000000000006"/>
    <n v="5000"/>
    <x v="396"/>
    <n v="500.00000000000011"/>
    <n v="0.4"/>
  </r>
  <r>
    <x v="0"/>
    <x v="0"/>
    <x v="138"/>
    <x v="3"/>
    <s v="Wisconsin"/>
    <s v="Milwaukee"/>
    <x v="1"/>
    <n v="0.25000000000000006"/>
    <n v="2000"/>
    <x v="366"/>
    <n v="200.00000000000006"/>
    <n v="0.4"/>
  </r>
  <r>
    <x v="0"/>
    <x v="0"/>
    <x v="138"/>
    <x v="3"/>
    <s v="Wisconsin"/>
    <s v="Milwaukee"/>
    <x v="2"/>
    <n v="0.15000000000000002"/>
    <n v="2000"/>
    <x v="309"/>
    <n v="105.00000000000001"/>
    <n v="0.35"/>
  </r>
  <r>
    <x v="0"/>
    <x v="0"/>
    <x v="138"/>
    <x v="3"/>
    <s v="Wisconsin"/>
    <s v="Milwaukee"/>
    <x v="3"/>
    <n v="0.19999999999999996"/>
    <n v="1250"/>
    <x v="660"/>
    <n v="87.499999999999972"/>
    <n v="0.35"/>
  </r>
  <r>
    <x v="0"/>
    <x v="0"/>
    <x v="138"/>
    <x v="3"/>
    <s v="Wisconsin"/>
    <s v="Milwaukee"/>
    <x v="4"/>
    <n v="0.65"/>
    <n v="1500"/>
    <x v="145"/>
    <n v="292.5"/>
    <n v="0.3"/>
  </r>
  <r>
    <x v="0"/>
    <x v="0"/>
    <x v="138"/>
    <x v="3"/>
    <s v="Wisconsin"/>
    <s v="Milwaukee"/>
    <x v="5"/>
    <n v="0.5"/>
    <n v="2750"/>
    <x v="140"/>
    <n v="550"/>
    <n v="0.4"/>
  </r>
  <r>
    <x v="0"/>
    <x v="0"/>
    <x v="139"/>
    <x v="3"/>
    <s v="Wisconsin"/>
    <s v="Milwaukee"/>
    <x v="0"/>
    <n v="0.6"/>
    <n v="5450"/>
    <x v="717"/>
    <n v="1308"/>
    <n v="0.4"/>
  </r>
  <r>
    <x v="0"/>
    <x v="0"/>
    <x v="139"/>
    <x v="3"/>
    <s v="Wisconsin"/>
    <s v="Milwaukee"/>
    <x v="1"/>
    <n v="0.4"/>
    <n v="2500"/>
    <x v="123"/>
    <n v="400"/>
    <n v="0.4"/>
  </r>
  <r>
    <x v="0"/>
    <x v="0"/>
    <x v="139"/>
    <x v="3"/>
    <s v="Wisconsin"/>
    <s v="Milwaukee"/>
    <x v="2"/>
    <n v="0.35000000000000003"/>
    <n v="2250"/>
    <x v="121"/>
    <n v="275.625"/>
    <n v="0.35"/>
  </r>
  <r>
    <x v="0"/>
    <x v="0"/>
    <x v="139"/>
    <x v="3"/>
    <s v="Wisconsin"/>
    <s v="Milwaukee"/>
    <x v="3"/>
    <n v="0.35000000000000003"/>
    <n v="1750"/>
    <x v="181"/>
    <n v="214.37500000000003"/>
    <n v="0.35"/>
  </r>
  <r>
    <x v="0"/>
    <x v="0"/>
    <x v="139"/>
    <x v="3"/>
    <s v="Wisconsin"/>
    <s v="Milwaukee"/>
    <x v="4"/>
    <n v="0.44999999999999996"/>
    <n v="2000"/>
    <x v="546"/>
    <n v="269.99999999999994"/>
    <n v="0.3"/>
  </r>
  <r>
    <x v="0"/>
    <x v="0"/>
    <x v="139"/>
    <x v="3"/>
    <s v="Wisconsin"/>
    <s v="Milwaukee"/>
    <x v="5"/>
    <n v="0.54999999999999993"/>
    <n v="3250"/>
    <x v="410"/>
    <n v="715"/>
    <n v="0.4"/>
  </r>
  <r>
    <x v="0"/>
    <x v="0"/>
    <x v="83"/>
    <x v="3"/>
    <s v="Wisconsin"/>
    <s v="Milwaukee"/>
    <x v="0"/>
    <n v="0.4"/>
    <n v="5750"/>
    <x v="336"/>
    <n v="920"/>
    <n v="0.4"/>
  </r>
  <r>
    <x v="0"/>
    <x v="0"/>
    <x v="83"/>
    <x v="3"/>
    <s v="Wisconsin"/>
    <s v="Milwaukee"/>
    <x v="1"/>
    <n v="0.35000000000000009"/>
    <n v="3250"/>
    <x v="507"/>
    <n v="455.00000000000011"/>
    <n v="0.4"/>
  </r>
  <r>
    <x v="0"/>
    <x v="0"/>
    <x v="83"/>
    <x v="3"/>
    <s v="Wisconsin"/>
    <s v="Milwaukee"/>
    <x v="2"/>
    <n v="0.30000000000000004"/>
    <n v="2000"/>
    <x v="399"/>
    <n v="210.00000000000003"/>
    <n v="0.35"/>
  </r>
  <r>
    <x v="0"/>
    <x v="0"/>
    <x v="83"/>
    <x v="3"/>
    <s v="Wisconsin"/>
    <s v="Milwaukee"/>
    <x v="3"/>
    <n v="0.30000000000000004"/>
    <n v="1750"/>
    <x v="314"/>
    <n v="183.75000000000003"/>
    <n v="0.35"/>
  </r>
  <r>
    <x v="0"/>
    <x v="0"/>
    <x v="83"/>
    <x v="3"/>
    <s v="Wisconsin"/>
    <s v="Milwaukee"/>
    <x v="4"/>
    <n v="0.4"/>
    <n v="1750"/>
    <x v="135"/>
    <n v="210"/>
    <n v="0.3"/>
  </r>
  <r>
    <x v="0"/>
    <x v="0"/>
    <x v="83"/>
    <x v="3"/>
    <s v="Wisconsin"/>
    <s v="Milwaukee"/>
    <x v="5"/>
    <n v="0.60000000000000009"/>
    <n v="3250"/>
    <x v="470"/>
    <n v="780.00000000000011"/>
    <n v="0.4"/>
  </r>
  <r>
    <x v="0"/>
    <x v="0"/>
    <x v="140"/>
    <x v="3"/>
    <s v="Wisconsin"/>
    <s v="Milwaukee"/>
    <x v="0"/>
    <n v="0.55000000000000004"/>
    <n v="5500"/>
    <x v="446"/>
    <n v="1210.0000000000002"/>
    <n v="0.4"/>
  </r>
  <r>
    <x v="0"/>
    <x v="0"/>
    <x v="140"/>
    <x v="3"/>
    <s v="Wisconsin"/>
    <s v="Milwaukee"/>
    <x v="1"/>
    <n v="0.50000000000000011"/>
    <n v="3000"/>
    <x v="192"/>
    <n v="600.00000000000011"/>
    <n v="0.4"/>
  </r>
  <r>
    <x v="0"/>
    <x v="0"/>
    <x v="140"/>
    <x v="3"/>
    <s v="Wisconsin"/>
    <s v="Milwaukee"/>
    <x v="2"/>
    <n v="0.45"/>
    <n v="2250"/>
    <x v="177"/>
    <n v="354.375"/>
    <n v="0.35"/>
  </r>
  <r>
    <x v="0"/>
    <x v="0"/>
    <x v="140"/>
    <x v="3"/>
    <s v="Wisconsin"/>
    <s v="Milwaukee"/>
    <x v="3"/>
    <n v="0.45"/>
    <n v="1750"/>
    <x v="120"/>
    <n v="275.625"/>
    <n v="0.35"/>
  </r>
  <r>
    <x v="0"/>
    <x v="0"/>
    <x v="140"/>
    <x v="3"/>
    <s v="Wisconsin"/>
    <s v="Milwaukee"/>
    <x v="4"/>
    <n v="0.55000000000000004"/>
    <n v="2000"/>
    <x v="130"/>
    <n v="330"/>
    <n v="0.3"/>
  </r>
  <r>
    <x v="0"/>
    <x v="0"/>
    <x v="140"/>
    <x v="3"/>
    <s v="Wisconsin"/>
    <s v="Milwaukee"/>
    <x v="5"/>
    <n v="0.60000000000000009"/>
    <n v="3750"/>
    <x v="223"/>
    <n v="900.00000000000023"/>
    <n v="0.4"/>
  </r>
  <r>
    <x v="0"/>
    <x v="0"/>
    <x v="141"/>
    <x v="3"/>
    <s v="Wisconsin"/>
    <s v="Milwaukee"/>
    <x v="0"/>
    <n v="0.5"/>
    <n v="5250"/>
    <x v="48"/>
    <n v="1050"/>
    <n v="0.4"/>
  </r>
  <r>
    <x v="0"/>
    <x v="0"/>
    <x v="141"/>
    <x v="3"/>
    <s v="Wisconsin"/>
    <s v="Milwaukee"/>
    <x v="1"/>
    <n v="0.45000000000000007"/>
    <n v="3000"/>
    <x v="139"/>
    <n v="540.00000000000011"/>
    <n v="0.4"/>
  </r>
  <r>
    <x v="0"/>
    <x v="0"/>
    <x v="141"/>
    <x v="3"/>
    <s v="Wisconsin"/>
    <s v="Milwaukee"/>
    <x v="2"/>
    <n v="0.4"/>
    <n v="2250"/>
    <x v="124"/>
    <n v="315"/>
    <n v="0.35"/>
  </r>
  <r>
    <x v="0"/>
    <x v="0"/>
    <x v="141"/>
    <x v="3"/>
    <s v="Wisconsin"/>
    <s v="Milwaukee"/>
    <x v="3"/>
    <n v="0.4"/>
    <n v="2000"/>
    <x v="134"/>
    <n v="280"/>
    <n v="0.35"/>
  </r>
  <r>
    <x v="0"/>
    <x v="0"/>
    <x v="141"/>
    <x v="3"/>
    <s v="Wisconsin"/>
    <s v="Milwaukee"/>
    <x v="4"/>
    <n v="0.5"/>
    <n v="1750"/>
    <x v="131"/>
    <n v="262.5"/>
    <n v="0.3"/>
  </r>
  <r>
    <x v="0"/>
    <x v="0"/>
    <x v="141"/>
    <x v="3"/>
    <s v="Wisconsin"/>
    <s v="Milwaukee"/>
    <x v="5"/>
    <n v="0.55000000000000004"/>
    <n v="3500"/>
    <x v="136"/>
    <n v="770.00000000000011"/>
    <n v="0.4"/>
  </r>
  <r>
    <x v="0"/>
    <x v="0"/>
    <x v="142"/>
    <x v="3"/>
    <s v="Wisconsin"/>
    <s v="Milwaukee"/>
    <x v="0"/>
    <n v="0.35000000000000003"/>
    <n v="4750"/>
    <x v="394"/>
    <n v="665.00000000000011"/>
    <n v="0.4"/>
  </r>
  <r>
    <x v="0"/>
    <x v="0"/>
    <x v="142"/>
    <x v="3"/>
    <s v="Wisconsin"/>
    <s v="Milwaukee"/>
    <x v="1"/>
    <n v="0.3000000000000001"/>
    <n v="2750"/>
    <x v="651"/>
    <n v="330.00000000000011"/>
    <n v="0.4"/>
  </r>
  <r>
    <x v="0"/>
    <x v="0"/>
    <x v="142"/>
    <x v="3"/>
    <s v="Wisconsin"/>
    <s v="Milwaukee"/>
    <x v="2"/>
    <n v="0.25000000000000006"/>
    <n v="1750"/>
    <x v="706"/>
    <n v="153.12500000000003"/>
    <n v="0.35"/>
  </r>
  <r>
    <x v="0"/>
    <x v="0"/>
    <x v="142"/>
    <x v="3"/>
    <s v="Wisconsin"/>
    <s v="Milwaukee"/>
    <x v="3"/>
    <n v="0.25000000000000006"/>
    <n v="1500"/>
    <x v="372"/>
    <n v="131.25"/>
    <n v="0.35"/>
  </r>
  <r>
    <x v="0"/>
    <x v="0"/>
    <x v="142"/>
    <x v="3"/>
    <s v="Wisconsin"/>
    <s v="Milwaukee"/>
    <x v="4"/>
    <n v="0.35000000000000003"/>
    <n v="1500"/>
    <x v="311"/>
    <n v="157.5"/>
    <n v="0.3"/>
  </r>
  <r>
    <x v="0"/>
    <x v="0"/>
    <x v="142"/>
    <x v="3"/>
    <s v="Wisconsin"/>
    <s v="Milwaukee"/>
    <x v="5"/>
    <n v="0.4"/>
    <n v="2250"/>
    <x v="124"/>
    <n v="360"/>
    <n v="0.4"/>
  </r>
  <r>
    <x v="0"/>
    <x v="0"/>
    <x v="87"/>
    <x v="3"/>
    <s v="Wisconsin"/>
    <s v="Milwaukee"/>
    <x v="0"/>
    <n v="0.44999999999999996"/>
    <n v="4000"/>
    <x v="451"/>
    <n v="720"/>
    <n v="0.4"/>
  </r>
  <r>
    <x v="0"/>
    <x v="0"/>
    <x v="87"/>
    <x v="3"/>
    <s v="Wisconsin"/>
    <s v="Milwaukee"/>
    <x v="1"/>
    <n v="0.35000000000000003"/>
    <n v="2500"/>
    <x v="622"/>
    <n v="350.00000000000006"/>
    <n v="0.4"/>
  </r>
  <r>
    <x v="0"/>
    <x v="0"/>
    <x v="87"/>
    <x v="3"/>
    <s v="Wisconsin"/>
    <s v="Milwaukee"/>
    <x v="2"/>
    <n v="0.35000000000000003"/>
    <n v="1500"/>
    <x v="311"/>
    <n v="183.75"/>
    <n v="0.35"/>
  </r>
  <r>
    <x v="0"/>
    <x v="0"/>
    <x v="87"/>
    <x v="3"/>
    <s v="Wisconsin"/>
    <s v="Milwaukee"/>
    <x v="3"/>
    <n v="0.35000000000000003"/>
    <n v="1500"/>
    <x v="311"/>
    <n v="183.75"/>
    <n v="0.35"/>
  </r>
  <r>
    <x v="0"/>
    <x v="0"/>
    <x v="87"/>
    <x v="3"/>
    <s v="Wisconsin"/>
    <s v="Milwaukee"/>
    <x v="4"/>
    <n v="0.44999999999999996"/>
    <n v="1500"/>
    <x v="310"/>
    <n v="202.49999999999997"/>
    <n v="0.3"/>
  </r>
  <r>
    <x v="0"/>
    <x v="0"/>
    <x v="87"/>
    <x v="3"/>
    <s v="Wisconsin"/>
    <s v="Milwaukee"/>
    <x v="5"/>
    <n v="0.49999999999999983"/>
    <n v="2750"/>
    <x v="383"/>
    <n v="549.99999999999989"/>
    <n v="0.4"/>
  </r>
  <r>
    <x v="0"/>
    <x v="0"/>
    <x v="143"/>
    <x v="3"/>
    <s v="Wisconsin"/>
    <s v="Milwaukee"/>
    <x v="0"/>
    <n v="0.44999999999999996"/>
    <n v="4250"/>
    <x v="646"/>
    <n v="765"/>
    <n v="0.4"/>
  </r>
  <r>
    <x v="0"/>
    <x v="0"/>
    <x v="143"/>
    <x v="3"/>
    <s v="Wisconsin"/>
    <s v="Milwaukee"/>
    <x v="1"/>
    <n v="0.35000000000000003"/>
    <n v="3250"/>
    <x v="165"/>
    <n v="455"/>
    <n v="0.4"/>
  </r>
  <r>
    <x v="0"/>
    <x v="0"/>
    <x v="143"/>
    <x v="3"/>
    <s v="Wisconsin"/>
    <s v="Milwaukee"/>
    <x v="2"/>
    <n v="0.35000000000000003"/>
    <n v="2700"/>
    <x v="718"/>
    <n v="330.75"/>
    <n v="0.35"/>
  </r>
  <r>
    <x v="0"/>
    <x v="0"/>
    <x v="143"/>
    <x v="3"/>
    <s v="Wisconsin"/>
    <s v="Milwaukee"/>
    <x v="3"/>
    <n v="0.35000000000000003"/>
    <n v="2750"/>
    <x v="117"/>
    <n v="336.875"/>
    <n v="0.35"/>
  </r>
  <r>
    <x v="0"/>
    <x v="0"/>
    <x v="143"/>
    <x v="3"/>
    <s v="Wisconsin"/>
    <s v="Milwaukee"/>
    <x v="4"/>
    <n v="0.6"/>
    <n v="2500"/>
    <x v="146"/>
    <n v="450"/>
    <n v="0.3"/>
  </r>
  <r>
    <x v="0"/>
    <x v="0"/>
    <x v="143"/>
    <x v="3"/>
    <s v="Wisconsin"/>
    <s v="Milwaukee"/>
    <x v="5"/>
    <n v="0.64999999999999991"/>
    <n v="3500"/>
    <x v="715"/>
    <n v="909.99999999999989"/>
    <n v="0.4"/>
  </r>
  <r>
    <x v="0"/>
    <x v="0"/>
    <x v="144"/>
    <x v="3"/>
    <s v="Wisconsin"/>
    <s v="Milwaukee"/>
    <x v="0"/>
    <n v="0.6"/>
    <n v="6000"/>
    <x v="11"/>
    <n v="1440"/>
    <n v="0.4"/>
  </r>
  <r>
    <x v="0"/>
    <x v="0"/>
    <x v="144"/>
    <x v="3"/>
    <s v="Wisconsin"/>
    <s v="Milwaukee"/>
    <x v="1"/>
    <n v="0.5"/>
    <n v="4000"/>
    <x v="47"/>
    <n v="800"/>
    <n v="0.4"/>
  </r>
  <r>
    <x v="0"/>
    <x v="0"/>
    <x v="144"/>
    <x v="3"/>
    <s v="Wisconsin"/>
    <s v="Milwaukee"/>
    <x v="2"/>
    <n v="0.5"/>
    <n v="3500"/>
    <x v="157"/>
    <n v="612.5"/>
    <n v="0.35"/>
  </r>
  <r>
    <x v="0"/>
    <x v="0"/>
    <x v="144"/>
    <x v="3"/>
    <s v="Wisconsin"/>
    <s v="Milwaukee"/>
    <x v="3"/>
    <n v="0.5"/>
    <n v="3000"/>
    <x v="146"/>
    <n v="525"/>
    <n v="0.35"/>
  </r>
  <r>
    <x v="0"/>
    <x v="0"/>
    <x v="144"/>
    <x v="3"/>
    <s v="Wisconsin"/>
    <s v="Milwaukee"/>
    <x v="4"/>
    <n v="0.6"/>
    <n v="3000"/>
    <x v="207"/>
    <n v="540"/>
    <n v="0.3"/>
  </r>
  <r>
    <x v="0"/>
    <x v="0"/>
    <x v="144"/>
    <x v="3"/>
    <s v="Wisconsin"/>
    <s v="Milwaukee"/>
    <x v="5"/>
    <n v="0.64999999999999991"/>
    <n v="4000"/>
    <x v="719"/>
    <n v="1039.9999999999998"/>
    <n v="0.4"/>
  </r>
  <r>
    <x v="0"/>
    <x v="0"/>
    <x v="102"/>
    <x v="3"/>
    <s v="Indiana"/>
    <s v="Indianapolis"/>
    <x v="0"/>
    <n v="0.35000000000000003"/>
    <n v="5000"/>
    <x v="191"/>
    <n v="700.00000000000011"/>
    <n v="0.4"/>
  </r>
  <r>
    <x v="0"/>
    <x v="0"/>
    <x v="102"/>
    <x v="3"/>
    <s v="Indiana"/>
    <s v="Indianapolis"/>
    <x v="1"/>
    <n v="0.35000000000000003"/>
    <n v="3000"/>
    <x v="202"/>
    <n v="420"/>
    <n v="0.4"/>
  </r>
  <r>
    <x v="0"/>
    <x v="0"/>
    <x v="102"/>
    <x v="3"/>
    <s v="Indiana"/>
    <s v="Indianapolis"/>
    <x v="2"/>
    <n v="0.25000000000000006"/>
    <n v="3000"/>
    <x v="398"/>
    <n v="300.00000000000006"/>
    <n v="0.4"/>
  </r>
  <r>
    <x v="0"/>
    <x v="0"/>
    <x v="102"/>
    <x v="3"/>
    <s v="Indiana"/>
    <s v="Indianapolis"/>
    <x v="3"/>
    <n v="0.30000000000000004"/>
    <n v="1500"/>
    <x v="362"/>
    <n v="180.00000000000003"/>
    <n v="0.4"/>
  </r>
  <r>
    <x v="0"/>
    <x v="0"/>
    <x v="102"/>
    <x v="3"/>
    <s v="Indiana"/>
    <s v="Indianapolis"/>
    <x v="4"/>
    <n v="0.44999999999999996"/>
    <n v="2000"/>
    <x v="546"/>
    <n v="360"/>
    <n v="0.4"/>
  </r>
  <r>
    <x v="0"/>
    <x v="0"/>
    <x v="102"/>
    <x v="3"/>
    <s v="Indiana"/>
    <s v="Indianapolis"/>
    <x v="5"/>
    <n v="0.35000000000000003"/>
    <n v="3000"/>
    <x v="202"/>
    <n v="420"/>
    <n v="0.4"/>
  </r>
  <r>
    <x v="0"/>
    <x v="0"/>
    <x v="103"/>
    <x v="3"/>
    <s v="Indiana"/>
    <s v="Indianapolis"/>
    <x v="0"/>
    <n v="0.35000000000000003"/>
    <n v="5500"/>
    <x v="136"/>
    <n v="770.00000000000011"/>
    <n v="0.4"/>
  </r>
  <r>
    <x v="0"/>
    <x v="0"/>
    <x v="103"/>
    <x v="3"/>
    <s v="Indiana"/>
    <s v="Indianapolis"/>
    <x v="1"/>
    <n v="0.4"/>
    <n v="2000"/>
    <x v="134"/>
    <n v="320"/>
    <n v="0.4"/>
  </r>
  <r>
    <x v="0"/>
    <x v="0"/>
    <x v="103"/>
    <x v="3"/>
    <s v="Indiana"/>
    <s v="Indianapolis"/>
    <x v="2"/>
    <n v="0.30000000000000004"/>
    <n v="3000"/>
    <x v="395"/>
    <n v="360.00000000000006"/>
    <n v="0.4"/>
  </r>
  <r>
    <x v="0"/>
    <x v="0"/>
    <x v="103"/>
    <x v="3"/>
    <s v="Indiana"/>
    <s v="Indianapolis"/>
    <x v="3"/>
    <n v="0.35000000000000003"/>
    <n v="1750"/>
    <x v="181"/>
    <n v="245.00000000000006"/>
    <n v="0.4"/>
  </r>
  <r>
    <x v="0"/>
    <x v="0"/>
    <x v="103"/>
    <x v="3"/>
    <s v="Indiana"/>
    <s v="Indianapolis"/>
    <x v="4"/>
    <n v="0.49999999999999994"/>
    <n v="2500"/>
    <x v="589"/>
    <n v="499.99999999999994"/>
    <n v="0.4"/>
  </r>
  <r>
    <x v="0"/>
    <x v="0"/>
    <x v="103"/>
    <x v="3"/>
    <s v="Indiana"/>
    <s v="Indianapolis"/>
    <x v="5"/>
    <n v="0.24999999999999994"/>
    <n v="3500"/>
    <x v="605"/>
    <n v="349.99999999999994"/>
    <n v="0.4"/>
  </r>
  <r>
    <x v="0"/>
    <x v="0"/>
    <x v="104"/>
    <x v="3"/>
    <s v="Indiana"/>
    <s v="Indianapolis"/>
    <x v="0"/>
    <n v="0.30000000000000004"/>
    <n v="5700"/>
    <x v="720"/>
    <n v="684.00000000000011"/>
    <n v="0.4"/>
  </r>
  <r>
    <x v="0"/>
    <x v="0"/>
    <x v="104"/>
    <x v="3"/>
    <s v="Indiana"/>
    <s v="Indianapolis"/>
    <x v="1"/>
    <n v="0.30000000000000004"/>
    <n v="2750"/>
    <x v="188"/>
    <n v="330.00000000000006"/>
    <n v="0.4"/>
  </r>
  <r>
    <x v="0"/>
    <x v="0"/>
    <x v="104"/>
    <x v="3"/>
    <s v="Indiana"/>
    <s v="Indianapolis"/>
    <x v="2"/>
    <n v="0.2"/>
    <n v="3250"/>
    <x v="406"/>
    <n v="260"/>
    <n v="0.4"/>
  </r>
  <r>
    <x v="0"/>
    <x v="0"/>
    <x v="104"/>
    <x v="3"/>
    <s v="Indiana"/>
    <s v="Indianapolis"/>
    <x v="3"/>
    <n v="0.24999999999999994"/>
    <n v="1750"/>
    <x v="721"/>
    <n v="174.99999999999997"/>
    <n v="0.4"/>
  </r>
  <r>
    <x v="0"/>
    <x v="0"/>
    <x v="104"/>
    <x v="3"/>
    <s v="Indiana"/>
    <s v="Indianapolis"/>
    <x v="4"/>
    <n v="0.4"/>
    <n v="2250"/>
    <x v="124"/>
    <n v="360"/>
    <n v="0.4"/>
  </r>
  <r>
    <x v="0"/>
    <x v="0"/>
    <x v="104"/>
    <x v="3"/>
    <s v="Indiana"/>
    <s v="Indianapolis"/>
    <x v="5"/>
    <n v="0.30000000000000004"/>
    <n v="3250"/>
    <x v="663"/>
    <n v="390.00000000000006"/>
    <n v="0.4"/>
  </r>
  <r>
    <x v="0"/>
    <x v="0"/>
    <x v="105"/>
    <x v="3"/>
    <s v="Indiana"/>
    <s v="Indianapolis"/>
    <x v="0"/>
    <n v="0.30000000000000004"/>
    <n v="5500"/>
    <x v="205"/>
    <n v="660.00000000000011"/>
    <n v="0.4"/>
  </r>
  <r>
    <x v="0"/>
    <x v="0"/>
    <x v="105"/>
    <x v="3"/>
    <s v="Indiana"/>
    <s v="Indianapolis"/>
    <x v="1"/>
    <n v="0.30000000000000004"/>
    <n v="2500"/>
    <x v="398"/>
    <n v="300.00000000000006"/>
    <n v="0.4"/>
  </r>
  <r>
    <x v="0"/>
    <x v="0"/>
    <x v="105"/>
    <x v="3"/>
    <s v="Indiana"/>
    <s v="Indianapolis"/>
    <x v="2"/>
    <n v="0.2"/>
    <n v="2500"/>
    <x v="118"/>
    <n v="200"/>
    <n v="0.4"/>
  </r>
  <r>
    <x v="0"/>
    <x v="0"/>
    <x v="105"/>
    <x v="3"/>
    <s v="Indiana"/>
    <s v="Indianapolis"/>
    <x v="3"/>
    <n v="0.24999999999999994"/>
    <n v="1750"/>
    <x v="721"/>
    <n v="174.99999999999997"/>
    <n v="0.4"/>
  </r>
  <r>
    <x v="0"/>
    <x v="0"/>
    <x v="105"/>
    <x v="3"/>
    <s v="Indiana"/>
    <s v="Indianapolis"/>
    <x v="4"/>
    <n v="0.65"/>
    <n v="2000"/>
    <x v="194"/>
    <n v="520"/>
    <n v="0.4"/>
  </r>
  <r>
    <x v="0"/>
    <x v="0"/>
    <x v="105"/>
    <x v="3"/>
    <s v="Indiana"/>
    <s v="Indianapolis"/>
    <x v="5"/>
    <n v="0.5"/>
    <n v="3250"/>
    <x v="132"/>
    <n v="650"/>
    <n v="0.4"/>
  </r>
  <r>
    <x v="0"/>
    <x v="0"/>
    <x v="106"/>
    <x v="3"/>
    <s v="Indiana"/>
    <s v="Indianapolis"/>
    <x v="0"/>
    <n v="0.6"/>
    <n v="5950"/>
    <x v="573"/>
    <n v="1428"/>
    <n v="0.4"/>
  </r>
  <r>
    <x v="0"/>
    <x v="0"/>
    <x v="106"/>
    <x v="3"/>
    <s v="Indiana"/>
    <s v="Indianapolis"/>
    <x v="1"/>
    <n v="0.4"/>
    <n v="3000"/>
    <x v="147"/>
    <n v="480"/>
    <n v="0.4"/>
  </r>
  <r>
    <x v="0"/>
    <x v="0"/>
    <x v="106"/>
    <x v="3"/>
    <s v="Indiana"/>
    <s v="Indianapolis"/>
    <x v="2"/>
    <n v="0.35000000000000003"/>
    <n v="2750"/>
    <x v="117"/>
    <n v="385.00000000000006"/>
    <n v="0.4"/>
  </r>
  <r>
    <x v="0"/>
    <x v="0"/>
    <x v="106"/>
    <x v="3"/>
    <s v="Indiana"/>
    <s v="Indianapolis"/>
    <x v="3"/>
    <n v="0.35000000000000003"/>
    <n v="2000"/>
    <x v="320"/>
    <n v="280.00000000000006"/>
    <n v="0.4"/>
  </r>
  <r>
    <x v="0"/>
    <x v="0"/>
    <x v="106"/>
    <x v="3"/>
    <s v="Indiana"/>
    <s v="Indianapolis"/>
    <x v="4"/>
    <n v="0.44999999999999996"/>
    <n v="2250"/>
    <x v="680"/>
    <n v="405"/>
    <n v="0.4"/>
  </r>
  <r>
    <x v="0"/>
    <x v="0"/>
    <x v="106"/>
    <x v="3"/>
    <s v="Indiana"/>
    <s v="Indianapolis"/>
    <x v="5"/>
    <n v="0.54999999999999993"/>
    <n v="3500"/>
    <x v="237"/>
    <n v="770"/>
    <n v="0.4"/>
  </r>
  <r>
    <x v="0"/>
    <x v="0"/>
    <x v="107"/>
    <x v="3"/>
    <s v="Indiana"/>
    <s v="Indianapolis"/>
    <x v="0"/>
    <n v="0.45"/>
    <n v="6000"/>
    <x v="52"/>
    <n v="1080"/>
    <n v="0.4"/>
  </r>
  <r>
    <x v="0"/>
    <x v="0"/>
    <x v="107"/>
    <x v="3"/>
    <s v="Indiana"/>
    <s v="Indianapolis"/>
    <x v="1"/>
    <n v="0.40000000000000008"/>
    <n v="4250"/>
    <x v="722"/>
    <n v="680.00000000000011"/>
    <n v="0.4"/>
  </r>
  <r>
    <x v="0"/>
    <x v="0"/>
    <x v="107"/>
    <x v="3"/>
    <s v="Indiana"/>
    <s v="Indianapolis"/>
    <x v="2"/>
    <n v="0.35000000000000003"/>
    <n v="3000"/>
    <x v="202"/>
    <n v="420"/>
    <n v="0.4"/>
  </r>
  <r>
    <x v="0"/>
    <x v="0"/>
    <x v="107"/>
    <x v="3"/>
    <s v="Indiana"/>
    <s v="Indianapolis"/>
    <x v="3"/>
    <n v="0.35000000000000003"/>
    <n v="2750"/>
    <x v="117"/>
    <n v="385.00000000000006"/>
    <n v="0.4"/>
  </r>
  <r>
    <x v="0"/>
    <x v="0"/>
    <x v="107"/>
    <x v="3"/>
    <s v="Indiana"/>
    <s v="Indianapolis"/>
    <x v="4"/>
    <n v="0.45"/>
    <n v="2750"/>
    <x v="116"/>
    <n v="495"/>
    <n v="0.4"/>
  </r>
  <r>
    <x v="0"/>
    <x v="0"/>
    <x v="107"/>
    <x v="3"/>
    <s v="Indiana"/>
    <s v="Indianapolis"/>
    <x v="5"/>
    <n v="0.65000000000000013"/>
    <n v="4250"/>
    <x v="723"/>
    <n v="1105.0000000000002"/>
    <n v="0.4"/>
  </r>
  <r>
    <x v="0"/>
    <x v="0"/>
    <x v="108"/>
    <x v="3"/>
    <s v="Indiana"/>
    <s v="Indianapolis"/>
    <x v="0"/>
    <n v="0.60000000000000009"/>
    <n v="6500"/>
    <x v="608"/>
    <n v="1560.0000000000002"/>
    <n v="0.4"/>
  </r>
  <r>
    <x v="0"/>
    <x v="0"/>
    <x v="108"/>
    <x v="3"/>
    <s v="Indiana"/>
    <s v="Indianapolis"/>
    <x v="1"/>
    <n v="0.55000000000000016"/>
    <n v="4000"/>
    <x v="609"/>
    <n v="880.00000000000023"/>
    <n v="0.4"/>
  </r>
  <r>
    <x v="0"/>
    <x v="0"/>
    <x v="108"/>
    <x v="3"/>
    <s v="Indiana"/>
    <s v="Indianapolis"/>
    <x v="2"/>
    <n v="0.5"/>
    <n v="3250"/>
    <x v="132"/>
    <n v="650"/>
    <n v="0.4"/>
  </r>
  <r>
    <x v="0"/>
    <x v="0"/>
    <x v="108"/>
    <x v="3"/>
    <s v="Indiana"/>
    <s v="Indianapolis"/>
    <x v="3"/>
    <n v="0.5"/>
    <n v="2750"/>
    <x v="140"/>
    <n v="550"/>
    <n v="0.4"/>
  </r>
  <r>
    <x v="0"/>
    <x v="0"/>
    <x v="108"/>
    <x v="3"/>
    <s v="Indiana"/>
    <s v="Indianapolis"/>
    <x v="4"/>
    <n v="0.60000000000000009"/>
    <n v="3000"/>
    <x v="166"/>
    <n v="720.00000000000011"/>
    <n v="0.4"/>
  </r>
  <r>
    <x v="0"/>
    <x v="0"/>
    <x v="108"/>
    <x v="3"/>
    <s v="Indiana"/>
    <s v="Indianapolis"/>
    <x v="5"/>
    <n v="0.65000000000000013"/>
    <n v="4750"/>
    <x v="422"/>
    <n v="1235.0000000000002"/>
    <n v="0.4"/>
  </r>
  <r>
    <x v="0"/>
    <x v="0"/>
    <x v="109"/>
    <x v="3"/>
    <s v="Indiana"/>
    <s v="Indianapolis"/>
    <x v="0"/>
    <n v="0.5"/>
    <n v="5250"/>
    <x v="48"/>
    <n v="1050"/>
    <n v="0.4"/>
  </r>
  <r>
    <x v="0"/>
    <x v="0"/>
    <x v="109"/>
    <x v="3"/>
    <s v="Indiana"/>
    <s v="Indianapolis"/>
    <x v="1"/>
    <n v="0.45000000000000007"/>
    <n v="3000"/>
    <x v="139"/>
    <n v="540.00000000000011"/>
    <n v="0.4"/>
  </r>
  <r>
    <x v="0"/>
    <x v="0"/>
    <x v="109"/>
    <x v="3"/>
    <s v="Indiana"/>
    <s v="Indianapolis"/>
    <x v="2"/>
    <n v="0.4"/>
    <n v="3000"/>
    <x v="147"/>
    <n v="480"/>
    <n v="0.4"/>
  </r>
  <r>
    <x v="0"/>
    <x v="0"/>
    <x v="109"/>
    <x v="3"/>
    <s v="Indiana"/>
    <s v="Indianapolis"/>
    <x v="3"/>
    <n v="0.4"/>
    <n v="2750"/>
    <x v="130"/>
    <n v="440"/>
    <n v="0.4"/>
  </r>
  <r>
    <x v="0"/>
    <x v="0"/>
    <x v="109"/>
    <x v="3"/>
    <s v="Indiana"/>
    <s v="Indianapolis"/>
    <x v="4"/>
    <n v="0.5"/>
    <n v="2500"/>
    <x v="142"/>
    <n v="500"/>
    <n v="0.4"/>
  </r>
  <r>
    <x v="0"/>
    <x v="0"/>
    <x v="109"/>
    <x v="3"/>
    <s v="Indiana"/>
    <s v="Indianapolis"/>
    <x v="5"/>
    <n v="0.55000000000000004"/>
    <n v="4250"/>
    <x v="256"/>
    <n v="935"/>
    <n v="0.4"/>
  </r>
  <r>
    <x v="0"/>
    <x v="0"/>
    <x v="110"/>
    <x v="3"/>
    <s v="Indiana"/>
    <s v="Indianapolis"/>
    <x v="0"/>
    <n v="0.35000000000000003"/>
    <n v="5500"/>
    <x v="136"/>
    <n v="770.00000000000011"/>
    <n v="0.4"/>
  </r>
  <r>
    <x v="0"/>
    <x v="0"/>
    <x v="110"/>
    <x v="3"/>
    <s v="Indiana"/>
    <s v="Indianapolis"/>
    <x v="1"/>
    <n v="0.3000000000000001"/>
    <n v="3500"/>
    <x v="509"/>
    <n v="420.00000000000023"/>
    <n v="0.4"/>
  </r>
  <r>
    <x v="0"/>
    <x v="0"/>
    <x v="110"/>
    <x v="3"/>
    <s v="Indiana"/>
    <s v="Indianapolis"/>
    <x v="2"/>
    <n v="0.25000000000000006"/>
    <n v="2500"/>
    <x v="472"/>
    <n v="250.00000000000006"/>
    <n v="0.4"/>
  </r>
  <r>
    <x v="0"/>
    <x v="0"/>
    <x v="110"/>
    <x v="3"/>
    <s v="Indiana"/>
    <s v="Indianapolis"/>
    <x v="3"/>
    <n v="0.25000000000000006"/>
    <n v="2250"/>
    <x v="469"/>
    <n v="225.00000000000006"/>
    <n v="0.4"/>
  </r>
  <r>
    <x v="0"/>
    <x v="0"/>
    <x v="110"/>
    <x v="3"/>
    <s v="Indiana"/>
    <s v="Indianapolis"/>
    <x v="4"/>
    <n v="0.35000000000000003"/>
    <n v="2250"/>
    <x v="121"/>
    <n v="315.00000000000006"/>
    <n v="0.4"/>
  </r>
  <r>
    <x v="0"/>
    <x v="0"/>
    <x v="110"/>
    <x v="3"/>
    <s v="Indiana"/>
    <s v="Indianapolis"/>
    <x v="5"/>
    <n v="0.4"/>
    <n v="3000"/>
    <x v="147"/>
    <n v="480"/>
    <n v="0.4"/>
  </r>
  <r>
    <x v="0"/>
    <x v="0"/>
    <x v="111"/>
    <x v="3"/>
    <s v="Indiana"/>
    <s v="Indianapolis"/>
    <x v="0"/>
    <n v="0.44999999999999996"/>
    <n v="4250"/>
    <x v="646"/>
    <n v="765"/>
    <n v="0.4"/>
  </r>
  <r>
    <x v="0"/>
    <x v="0"/>
    <x v="111"/>
    <x v="3"/>
    <s v="Indiana"/>
    <s v="Indianapolis"/>
    <x v="1"/>
    <n v="0.35000000000000003"/>
    <n v="2750"/>
    <x v="117"/>
    <n v="385.00000000000006"/>
    <n v="0.4"/>
  </r>
  <r>
    <x v="0"/>
    <x v="0"/>
    <x v="111"/>
    <x v="3"/>
    <s v="Indiana"/>
    <s v="Indianapolis"/>
    <x v="2"/>
    <n v="0.35000000000000003"/>
    <n v="1750"/>
    <x v="181"/>
    <n v="245.00000000000006"/>
    <n v="0.4"/>
  </r>
  <r>
    <x v="0"/>
    <x v="0"/>
    <x v="111"/>
    <x v="3"/>
    <s v="Indiana"/>
    <s v="Indianapolis"/>
    <x v="3"/>
    <n v="0.35000000000000003"/>
    <n v="1750"/>
    <x v="181"/>
    <n v="245.00000000000006"/>
    <n v="0.4"/>
  </r>
  <r>
    <x v="0"/>
    <x v="0"/>
    <x v="111"/>
    <x v="3"/>
    <s v="Indiana"/>
    <s v="Indianapolis"/>
    <x v="4"/>
    <n v="0.44999999999999996"/>
    <n v="1750"/>
    <x v="474"/>
    <n v="315"/>
    <n v="0.4"/>
  </r>
  <r>
    <x v="0"/>
    <x v="0"/>
    <x v="111"/>
    <x v="3"/>
    <s v="Indiana"/>
    <s v="Indianapolis"/>
    <x v="5"/>
    <n v="0.49999999999999983"/>
    <n v="3000"/>
    <x v="724"/>
    <n v="599.99999999999989"/>
    <n v="0.4"/>
  </r>
  <r>
    <x v="0"/>
    <x v="0"/>
    <x v="112"/>
    <x v="3"/>
    <s v="Indiana"/>
    <s v="Indianapolis"/>
    <x v="0"/>
    <n v="0.44999999999999996"/>
    <n v="4500"/>
    <x v="725"/>
    <n v="810"/>
    <n v="0.4"/>
  </r>
  <r>
    <x v="0"/>
    <x v="0"/>
    <x v="112"/>
    <x v="3"/>
    <s v="Indiana"/>
    <s v="Indianapolis"/>
    <x v="1"/>
    <n v="0.35000000000000003"/>
    <n v="3500"/>
    <x v="206"/>
    <n v="490.00000000000011"/>
    <n v="0.4"/>
  </r>
  <r>
    <x v="0"/>
    <x v="0"/>
    <x v="112"/>
    <x v="3"/>
    <s v="Indiana"/>
    <s v="Indianapolis"/>
    <x v="2"/>
    <n v="0.35000000000000003"/>
    <n v="2950"/>
    <x v="726"/>
    <n v="413"/>
    <n v="0.4"/>
  </r>
  <r>
    <x v="0"/>
    <x v="0"/>
    <x v="112"/>
    <x v="3"/>
    <s v="Indiana"/>
    <s v="Indianapolis"/>
    <x v="3"/>
    <n v="0.4"/>
    <n v="3250"/>
    <x v="194"/>
    <n v="520"/>
    <n v="0.4"/>
  </r>
  <r>
    <x v="0"/>
    <x v="0"/>
    <x v="112"/>
    <x v="3"/>
    <s v="Indiana"/>
    <s v="Indianapolis"/>
    <x v="4"/>
    <n v="0.65"/>
    <n v="3000"/>
    <x v="212"/>
    <n v="780"/>
    <n v="0.4"/>
  </r>
  <r>
    <x v="0"/>
    <x v="0"/>
    <x v="112"/>
    <x v="3"/>
    <s v="Indiana"/>
    <s v="Indianapolis"/>
    <x v="5"/>
    <n v="0.7"/>
    <n v="4000"/>
    <x v="59"/>
    <n v="1120"/>
    <n v="0.4"/>
  </r>
  <r>
    <x v="0"/>
    <x v="0"/>
    <x v="113"/>
    <x v="3"/>
    <s v="Indiana"/>
    <s v="Indianapolis"/>
    <x v="0"/>
    <n v="0.65"/>
    <n v="6500"/>
    <x v="106"/>
    <n v="1690"/>
    <n v="0.4"/>
  </r>
  <r>
    <x v="0"/>
    <x v="0"/>
    <x v="113"/>
    <x v="3"/>
    <s v="Indiana"/>
    <s v="Indianapolis"/>
    <x v="1"/>
    <n v="0.55000000000000004"/>
    <n v="4500"/>
    <x v="111"/>
    <n v="990"/>
    <n v="0.4"/>
  </r>
  <r>
    <x v="0"/>
    <x v="0"/>
    <x v="113"/>
    <x v="3"/>
    <s v="Indiana"/>
    <s v="Indianapolis"/>
    <x v="2"/>
    <n v="0.55000000000000004"/>
    <n v="4000"/>
    <x v="42"/>
    <n v="880"/>
    <n v="0.4"/>
  </r>
  <r>
    <x v="0"/>
    <x v="0"/>
    <x v="113"/>
    <x v="3"/>
    <s v="Indiana"/>
    <s v="Indianapolis"/>
    <x v="3"/>
    <n v="0.55000000000000004"/>
    <n v="3500"/>
    <x v="136"/>
    <n v="770.00000000000011"/>
    <n v="0.4"/>
  </r>
  <r>
    <x v="0"/>
    <x v="0"/>
    <x v="113"/>
    <x v="3"/>
    <s v="Indiana"/>
    <s v="Indianapolis"/>
    <x v="4"/>
    <n v="0.65"/>
    <n v="3500"/>
    <x v="154"/>
    <n v="910"/>
    <n v="0.4"/>
  </r>
  <r>
    <x v="0"/>
    <x v="0"/>
    <x v="113"/>
    <x v="3"/>
    <s v="Indiana"/>
    <s v="Indianapolis"/>
    <x v="5"/>
    <n v="0.7"/>
    <n v="4500"/>
    <x v="40"/>
    <n v="1260"/>
    <n v="0.4"/>
  </r>
  <r>
    <x v="0"/>
    <x v="0"/>
    <x v="145"/>
    <x v="0"/>
    <s v="West Virginia"/>
    <s v="Charleston"/>
    <x v="0"/>
    <n v="0.35000000000000003"/>
    <n v="4250"/>
    <x v="343"/>
    <n v="595.00000000000011"/>
    <n v="0.4"/>
  </r>
  <r>
    <x v="0"/>
    <x v="0"/>
    <x v="145"/>
    <x v="0"/>
    <s v="West Virginia"/>
    <s v="Charleston"/>
    <x v="1"/>
    <n v="0.35000000000000003"/>
    <n v="2250"/>
    <x v="121"/>
    <n v="275.625"/>
    <n v="0.35"/>
  </r>
  <r>
    <x v="0"/>
    <x v="0"/>
    <x v="145"/>
    <x v="0"/>
    <s v="West Virginia"/>
    <s v="Charleston"/>
    <x v="2"/>
    <n v="0.25000000000000006"/>
    <n v="2250"/>
    <x v="469"/>
    <n v="196.87500000000003"/>
    <n v="0.35"/>
  </r>
  <r>
    <x v="0"/>
    <x v="0"/>
    <x v="145"/>
    <x v="0"/>
    <s v="West Virginia"/>
    <s v="Charleston"/>
    <x v="3"/>
    <n v="0.3"/>
    <n v="750"/>
    <x v="375"/>
    <n v="78.75"/>
    <n v="0.35"/>
  </r>
  <r>
    <x v="0"/>
    <x v="0"/>
    <x v="145"/>
    <x v="0"/>
    <s v="West Virginia"/>
    <s v="Charleston"/>
    <x v="4"/>
    <n v="0.45"/>
    <n v="1250"/>
    <x v="180"/>
    <n v="168.75"/>
    <n v="0.3"/>
  </r>
  <r>
    <x v="0"/>
    <x v="0"/>
    <x v="145"/>
    <x v="0"/>
    <s v="West Virginia"/>
    <s v="Charleston"/>
    <x v="5"/>
    <n v="0.35000000000000003"/>
    <n v="2250"/>
    <x v="121"/>
    <n v="236.25000000000003"/>
    <n v="0.3"/>
  </r>
  <r>
    <x v="0"/>
    <x v="0"/>
    <x v="216"/>
    <x v="0"/>
    <s v="West Virginia"/>
    <s v="Charleston"/>
    <x v="0"/>
    <n v="0.35000000000000003"/>
    <n v="4750"/>
    <x v="394"/>
    <n v="665.00000000000011"/>
    <n v="0.4"/>
  </r>
  <r>
    <x v="0"/>
    <x v="0"/>
    <x v="216"/>
    <x v="0"/>
    <s v="West Virginia"/>
    <s v="Charleston"/>
    <x v="1"/>
    <n v="0.35000000000000003"/>
    <n v="1250"/>
    <x v="620"/>
    <n v="153.125"/>
    <n v="0.35"/>
  </r>
  <r>
    <x v="0"/>
    <x v="0"/>
    <x v="216"/>
    <x v="0"/>
    <s v="West Virginia"/>
    <s v="Charleston"/>
    <x v="2"/>
    <n v="0.25000000000000006"/>
    <n v="1750"/>
    <x v="706"/>
    <n v="153.12500000000003"/>
    <n v="0.35"/>
  </r>
  <r>
    <x v="0"/>
    <x v="0"/>
    <x v="216"/>
    <x v="0"/>
    <s v="West Virginia"/>
    <s v="Charleston"/>
    <x v="3"/>
    <n v="0.3"/>
    <n v="500"/>
    <x v="374"/>
    <n v="52.5"/>
    <n v="0.35"/>
  </r>
  <r>
    <x v="0"/>
    <x v="0"/>
    <x v="216"/>
    <x v="0"/>
    <s v="West Virginia"/>
    <s v="Charleston"/>
    <x v="4"/>
    <n v="0.45"/>
    <n v="1250"/>
    <x v="180"/>
    <n v="168.75"/>
    <n v="0.3"/>
  </r>
  <r>
    <x v="0"/>
    <x v="0"/>
    <x v="216"/>
    <x v="0"/>
    <s v="West Virginia"/>
    <s v="Charleston"/>
    <x v="5"/>
    <n v="0.35000000000000003"/>
    <n v="2250"/>
    <x v="121"/>
    <n v="236.25000000000003"/>
    <n v="0.3"/>
  </r>
  <r>
    <x v="0"/>
    <x v="0"/>
    <x v="250"/>
    <x v="0"/>
    <s v="West Virginia"/>
    <s v="Charleston"/>
    <x v="0"/>
    <n v="0.35000000000000003"/>
    <n v="4450"/>
    <x v="727"/>
    <n v="623.00000000000011"/>
    <n v="0.4"/>
  </r>
  <r>
    <x v="0"/>
    <x v="0"/>
    <x v="250"/>
    <x v="0"/>
    <s v="West Virginia"/>
    <s v="Charleston"/>
    <x v="1"/>
    <n v="0.35000000000000003"/>
    <n v="1500"/>
    <x v="311"/>
    <n v="183.75"/>
    <n v="0.35"/>
  </r>
  <r>
    <x v="0"/>
    <x v="0"/>
    <x v="250"/>
    <x v="0"/>
    <s v="West Virginia"/>
    <s v="Charleston"/>
    <x v="2"/>
    <n v="0.25000000000000006"/>
    <n v="1750"/>
    <x v="706"/>
    <n v="153.12500000000003"/>
    <n v="0.35"/>
  </r>
  <r>
    <x v="0"/>
    <x v="0"/>
    <x v="250"/>
    <x v="0"/>
    <s v="West Virginia"/>
    <s v="Charleston"/>
    <x v="3"/>
    <n v="0.3"/>
    <n v="250"/>
    <x v="376"/>
    <n v="26.25"/>
    <n v="0.35"/>
  </r>
  <r>
    <x v="0"/>
    <x v="0"/>
    <x v="250"/>
    <x v="0"/>
    <s v="West Virginia"/>
    <s v="Charleston"/>
    <x v="4"/>
    <n v="0.45"/>
    <n v="750"/>
    <x v="125"/>
    <n v="101.25"/>
    <n v="0.3"/>
  </r>
  <r>
    <x v="0"/>
    <x v="0"/>
    <x v="250"/>
    <x v="0"/>
    <s v="West Virginia"/>
    <s v="Charleston"/>
    <x v="5"/>
    <n v="0.35000000000000003"/>
    <n v="1750"/>
    <x v="181"/>
    <n v="183.75000000000003"/>
    <n v="0.3"/>
  </r>
  <r>
    <x v="0"/>
    <x v="0"/>
    <x v="251"/>
    <x v="0"/>
    <s v="West Virginia"/>
    <s v="Charleston"/>
    <x v="0"/>
    <n v="0.35000000000000003"/>
    <n v="4250"/>
    <x v="343"/>
    <n v="595.00000000000011"/>
    <n v="0.4"/>
  </r>
  <r>
    <x v="0"/>
    <x v="0"/>
    <x v="251"/>
    <x v="0"/>
    <s v="West Virginia"/>
    <s v="Charleston"/>
    <x v="1"/>
    <n v="0.35000000000000003"/>
    <n v="1250"/>
    <x v="620"/>
    <n v="153.125"/>
    <n v="0.35"/>
  </r>
  <r>
    <x v="0"/>
    <x v="0"/>
    <x v="251"/>
    <x v="0"/>
    <s v="West Virginia"/>
    <s v="Charleston"/>
    <x v="2"/>
    <n v="0.25000000000000006"/>
    <n v="1250"/>
    <x v="713"/>
    <n v="109.37500000000001"/>
    <n v="0.35"/>
  </r>
  <r>
    <x v="0"/>
    <x v="0"/>
    <x v="251"/>
    <x v="0"/>
    <s v="West Virginia"/>
    <s v="Charleston"/>
    <x v="3"/>
    <n v="0.3"/>
    <n v="500"/>
    <x v="374"/>
    <n v="52.5"/>
    <n v="0.35"/>
  </r>
  <r>
    <x v="0"/>
    <x v="0"/>
    <x v="251"/>
    <x v="0"/>
    <s v="West Virginia"/>
    <s v="Charleston"/>
    <x v="4"/>
    <n v="0.45"/>
    <n v="500"/>
    <x v="375"/>
    <n v="67.5"/>
    <n v="0.3"/>
  </r>
  <r>
    <x v="0"/>
    <x v="0"/>
    <x v="251"/>
    <x v="0"/>
    <s v="West Virginia"/>
    <s v="Charleston"/>
    <x v="5"/>
    <n v="0.35000000000000003"/>
    <n v="2000"/>
    <x v="320"/>
    <n v="210.00000000000003"/>
    <n v="0.3"/>
  </r>
  <r>
    <x v="0"/>
    <x v="0"/>
    <x v="252"/>
    <x v="0"/>
    <s v="West Virginia"/>
    <s v="Charleston"/>
    <x v="0"/>
    <n v="0.49999999999999994"/>
    <n v="4700"/>
    <x v="728"/>
    <n v="939.99999999999989"/>
    <n v="0.4"/>
  </r>
  <r>
    <x v="0"/>
    <x v="0"/>
    <x v="252"/>
    <x v="0"/>
    <s v="West Virginia"/>
    <s v="Charleston"/>
    <x v="1"/>
    <n v="0.45"/>
    <n v="1750"/>
    <x v="120"/>
    <n v="275.625"/>
    <n v="0.35"/>
  </r>
  <r>
    <x v="0"/>
    <x v="0"/>
    <x v="252"/>
    <x v="0"/>
    <s v="West Virginia"/>
    <s v="Charleston"/>
    <x v="2"/>
    <n v="0.4"/>
    <n v="1500"/>
    <x v="128"/>
    <n v="210"/>
    <n v="0.35"/>
  </r>
  <r>
    <x v="0"/>
    <x v="0"/>
    <x v="252"/>
    <x v="0"/>
    <s v="West Virginia"/>
    <s v="Charleston"/>
    <x v="3"/>
    <n v="0.4"/>
    <n v="1000"/>
    <x v="122"/>
    <n v="140"/>
    <n v="0.35"/>
  </r>
  <r>
    <x v="0"/>
    <x v="0"/>
    <x v="252"/>
    <x v="0"/>
    <s v="West Virginia"/>
    <s v="Charleston"/>
    <x v="4"/>
    <n v="0.49999999999999994"/>
    <n v="1250"/>
    <x v="694"/>
    <n v="187.49999999999997"/>
    <n v="0.3"/>
  </r>
  <r>
    <x v="0"/>
    <x v="0"/>
    <x v="252"/>
    <x v="0"/>
    <s v="West Virginia"/>
    <s v="Charleston"/>
    <x v="5"/>
    <n v="0.54999999999999993"/>
    <n v="2500"/>
    <x v="695"/>
    <n v="412.49999999999994"/>
    <n v="0.3"/>
  </r>
  <r>
    <x v="0"/>
    <x v="0"/>
    <x v="220"/>
    <x v="0"/>
    <s v="West Virginia"/>
    <s v="Charleston"/>
    <x v="0"/>
    <n v="0.49999999999999994"/>
    <n v="5000"/>
    <x v="631"/>
    <n v="999.99999999999989"/>
    <n v="0.4"/>
  </r>
  <r>
    <x v="0"/>
    <x v="0"/>
    <x v="220"/>
    <x v="0"/>
    <s v="West Virginia"/>
    <s v="Charleston"/>
    <x v="1"/>
    <n v="0.45"/>
    <n v="2500"/>
    <x v="127"/>
    <n v="393.75"/>
    <n v="0.35"/>
  </r>
  <r>
    <x v="0"/>
    <x v="0"/>
    <x v="220"/>
    <x v="0"/>
    <s v="West Virginia"/>
    <s v="Charleston"/>
    <x v="2"/>
    <n v="0.4"/>
    <n v="1750"/>
    <x v="135"/>
    <n v="244.99999999999997"/>
    <n v="0.35"/>
  </r>
  <r>
    <x v="0"/>
    <x v="0"/>
    <x v="220"/>
    <x v="0"/>
    <s v="West Virginia"/>
    <s v="Charleston"/>
    <x v="3"/>
    <n v="0.4"/>
    <n v="1500"/>
    <x v="128"/>
    <n v="210"/>
    <n v="0.35"/>
  </r>
  <r>
    <x v="0"/>
    <x v="0"/>
    <x v="220"/>
    <x v="0"/>
    <s v="West Virginia"/>
    <s v="Charleston"/>
    <x v="4"/>
    <n v="0.49999999999999994"/>
    <n v="1500"/>
    <x v="382"/>
    <n v="224.99999999999997"/>
    <n v="0.3"/>
  </r>
  <r>
    <x v="0"/>
    <x v="0"/>
    <x v="220"/>
    <x v="0"/>
    <s v="West Virginia"/>
    <s v="Charleston"/>
    <x v="5"/>
    <n v="0.54999999999999993"/>
    <n v="3000"/>
    <x v="209"/>
    <n v="494.99999999999989"/>
    <n v="0.3"/>
  </r>
  <r>
    <x v="0"/>
    <x v="0"/>
    <x v="253"/>
    <x v="0"/>
    <s v="West Virginia"/>
    <s v="Charleston"/>
    <x v="0"/>
    <n v="0.49999999999999994"/>
    <n v="5250"/>
    <x v="729"/>
    <n v="1049.9999999999998"/>
    <n v="0.4"/>
  </r>
  <r>
    <x v="0"/>
    <x v="0"/>
    <x v="253"/>
    <x v="0"/>
    <s v="West Virginia"/>
    <s v="Charleston"/>
    <x v="1"/>
    <n v="0.45"/>
    <n v="2750"/>
    <x v="116"/>
    <n v="433.125"/>
    <n v="0.35"/>
  </r>
  <r>
    <x v="0"/>
    <x v="0"/>
    <x v="253"/>
    <x v="0"/>
    <s v="West Virginia"/>
    <s v="Charleston"/>
    <x v="2"/>
    <n v="0.4"/>
    <n v="2000"/>
    <x v="134"/>
    <n v="280"/>
    <n v="0.35"/>
  </r>
  <r>
    <x v="0"/>
    <x v="0"/>
    <x v="253"/>
    <x v="0"/>
    <s v="West Virginia"/>
    <s v="Charleston"/>
    <x v="3"/>
    <n v="0.4"/>
    <n v="1500"/>
    <x v="128"/>
    <n v="210"/>
    <n v="0.35"/>
  </r>
  <r>
    <x v="0"/>
    <x v="0"/>
    <x v="253"/>
    <x v="0"/>
    <s v="West Virginia"/>
    <s v="Charleston"/>
    <x v="4"/>
    <n v="0.49999999999999994"/>
    <n v="1750"/>
    <x v="688"/>
    <n v="262.49999999999994"/>
    <n v="0.3"/>
  </r>
  <r>
    <x v="0"/>
    <x v="0"/>
    <x v="253"/>
    <x v="0"/>
    <s v="West Virginia"/>
    <s v="Charleston"/>
    <x v="5"/>
    <n v="0.54999999999999993"/>
    <n v="3500"/>
    <x v="237"/>
    <n v="577.49999999999989"/>
    <n v="0.3"/>
  </r>
  <r>
    <x v="0"/>
    <x v="0"/>
    <x v="254"/>
    <x v="0"/>
    <s v="West Virginia"/>
    <s v="Charleston"/>
    <x v="0"/>
    <n v="0.49999999999999994"/>
    <n v="5000"/>
    <x v="631"/>
    <n v="999.99999999999989"/>
    <n v="0.4"/>
  </r>
  <r>
    <x v="0"/>
    <x v="0"/>
    <x v="254"/>
    <x v="0"/>
    <s v="West Virginia"/>
    <s v="Charleston"/>
    <x v="1"/>
    <n v="0.45"/>
    <n v="2750"/>
    <x v="116"/>
    <n v="433.125"/>
    <n v="0.35"/>
  </r>
  <r>
    <x v="0"/>
    <x v="0"/>
    <x v="254"/>
    <x v="0"/>
    <s v="West Virginia"/>
    <s v="Charleston"/>
    <x v="2"/>
    <n v="0.4"/>
    <n v="2000"/>
    <x v="134"/>
    <n v="280"/>
    <n v="0.35"/>
  </r>
  <r>
    <x v="0"/>
    <x v="0"/>
    <x v="254"/>
    <x v="0"/>
    <s v="West Virginia"/>
    <s v="Charleston"/>
    <x v="3"/>
    <n v="0.4"/>
    <n v="1500"/>
    <x v="128"/>
    <n v="210"/>
    <n v="0.35"/>
  </r>
  <r>
    <x v="0"/>
    <x v="0"/>
    <x v="254"/>
    <x v="0"/>
    <s v="West Virginia"/>
    <s v="Charleston"/>
    <x v="4"/>
    <n v="0.49999999999999994"/>
    <n v="1250"/>
    <x v="694"/>
    <n v="187.49999999999997"/>
    <n v="0.3"/>
  </r>
  <r>
    <x v="0"/>
    <x v="0"/>
    <x v="254"/>
    <x v="0"/>
    <s v="West Virginia"/>
    <s v="Charleston"/>
    <x v="5"/>
    <n v="0.54999999999999993"/>
    <n v="3000"/>
    <x v="209"/>
    <n v="494.99999999999989"/>
    <n v="0.3"/>
  </r>
  <r>
    <x v="0"/>
    <x v="0"/>
    <x v="255"/>
    <x v="0"/>
    <s v="West Virginia"/>
    <s v="Charleston"/>
    <x v="0"/>
    <n v="0.49999999999999994"/>
    <n v="4250"/>
    <x v="397"/>
    <n v="849.99999999999989"/>
    <n v="0.4"/>
  </r>
  <r>
    <x v="0"/>
    <x v="0"/>
    <x v="255"/>
    <x v="0"/>
    <s v="West Virginia"/>
    <s v="Charleston"/>
    <x v="1"/>
    <n v="0.45"/>
    <n v="2250"/>
    <x v="177"/>
    <n v="354.375"/>
    <n v="0.35"/>
  </r>
  <r>
    <x v="0"/>
    <x v="0"/>
    <x v="255"/>
    <x v="0"/>
    <s v="West Virginia"/>
    <s v="Charleston"/>
    <x v="2"/>
    <n v="0.4"/>
    <n v="1250"/>
    <x v="118"/>
    <n v="175"/>
    <n v="0.35"/>
  </r>
  <r>
    <x v="0"/>
    <x v="0"/>
    <x v="255"/>
    <x v="0"/>
    <s v="West Virginia"/>
    <s v="Charleston"/>
    <x v="3"/>
    <n v="0.4"/>
    <n v="1000"/>
    <x v="122"/>
    <n v="140"/>
    <n v="0.35"/>
  </r>
  <r>
    <x v="0"/>
    <x v="0"/>
    <x v="255"/>
    <x v="0"/>
    <s v="West Virginia"/>
    <s v="Charleston"/>
    <x v="4"/>
    <n v="0.49999999999999994"/>
    <n v="1000"/>
    <x v="379"/>
    <n v="149.99999999999997"/>
    <n v="0.3"/>
  </r>
  <r>
    <x v="0"/>
    <x v="0"/>
    <x v="255"/>
    <x v="0"/>
    <s v="West Virginia"/>
    <s v="Charleston"/>
    <x v="5"/>
    <n v="0.54999999999999993"/>
    <n v="2000"/>
    <x v="405"/>
    <n v="329.99999999999994"/>
    <n v="0.3"/>
  </r>
  <r>
    <x v="0"/>
    <x v="0"/>
    <x v="224"/>
    <x v="0"/>
    <s v="West Virginia"/>
    <s v="Charleston"/>
    <x v="0"/>
    <n v="0.54999999999999993"/>
    <n v="3750"/>
    <x v="210"/>
    <n v="824.99999999999989"/>
    <n v="0.4"/>
  </r>
  <r>
    <x v="0"/>
    <x v="0"/>
    <x v="224"/>
    <x v="0"/>
    <s v="West Virginia"/>
    <s v="Charleston"/>
    <x v="1"/>
    <n v="0.5"/>
    <n v="2000"/>
    <x v="123"/>
    <n v="350"/>
    <n v="0.35"/>
  </r>
  <r>
    <x v="0"/>
    <x v="0"/>
    <x v="224"/>
    <x v="0"/>
    <s v="West Virginia"/>
    <s v="Charleston"/>
    <x v="2"/>
    <n v="0.5"/>
    <n v="1000"/>
    <x v="118"/>
    <n v="175"/>
    <n v="0.35"/>
  </r>
  <r>
    <x v="0"/>
    <x v="0"/>
    <x v="224"/>
    <x v="0"/>
    <s v="West Virginia"/>
    <s v="Charleston"/>
    <x v="3"/>
    <n v="0.5"/>
    <n v="750"/>
    <x v="316"/>
    <n v="131.25"/>
    <n v="0.35"/>
  </r>
  <r>
    <x v="0"/>
    <x v="0"/>
    <x v="224"/>
    <x v="0"/>
    <s v="West Virginia"/>
    <s v="Charleston"/>
    <x v="4"/>
    <n v="0.6"/>
    <n v="750"/>
    <x v="185"/>
    <n v="135"/>
    <n v="0.3"/>
  </r>
  <r>
    <x v="0"/>
    <x v="0"/>
    <x v="224"/>
    <x v="0"/>
    <s v="West Virginia"/>
    <s v="Charleston"/>
    <x v="5"/>
    <n v="0.64999999999999991"/>
    <n v="2000"/>
    <x v="730"/>
    <n v="389.99999999999994"/>
    <n v="0.3"/>
  </r>
  <r>
    <x v="0"/>
    <x v="0"/>
    <x v="256"/>
    <x v="0"/>
    <s v="West Virginia"/>
    <s v="Charleston"/>
    <x v="0"/>
    <n v="0.6"/>
    <n v="3500"/>
    <x v="193"/>
    <n v="840"/>
    <n v="0.4"/>
  </r>
  <r>
    <x v="0"/>
    <x v="0"/>
    <x v="256"/>
    <x v="0"/>
    <s v="West Virginia"/>
    <s v="Charleston"/>
    <x v="1"/>
    <n v="0.5"/>
    <n v="1750"/>
    <x v="131"/>
    <n v="306.25"/>
    <n v="0.35"/>
  </r>
  <r>
    <x v="0"/>
    <x v="0"/>
    <x v="256"/>
    <x v="0"/>
    <s v="West Virginia"/>
    <s v="Charleston"/>
    <x v="2"/>
    <n v="0.5"/>
    <n v="1700"/>
    <x v="501"/>
    <n v="297.5"/>
    <n v="0.35"/>
  </r>
  <r>
    <x v="0"/>
    <x v="0"/>
    <x v="256"/>
    <x v="0"/>
    <s v="West Virginia"/>
    <s v="Charleston"/>
    <x v="3"/>
    <n v="0.5"/>
    <n v="1500"/>
    <x v="126"/>
    <n v="262.5"/>
    <n v="0.35"/>
  </r>
  <r>
    <x v="0"/>
    <x v="0"/>
    <x v="256"/>
    <x v="0"/>
    <s v="West Virginia"/>
    <s v="Charleston"/>
    <x v="4"/>
    <n v="0.6"/>
    <n v="1250"/>
    <x v="126"/>
    <n v="225"/>
    <n v="0.3"/>
  </r>
  <r>
    <x v="0"/>
    <x v="0"/>
    <x v="256"/>
    <x v="0"/>
    <s v="West Virginia"/>
    <s v="Charleston"/>
    <x v="5"/>
    <n v="0.64999999999999991"/>
    <n v="2250"/>
    <x v="199"/>
    <n v="438.74999999999994"/>
    <n v="0.3"/>
  </r>
  <r>
    <x v="0"/>
    <x v="0"/>
    <x v="257"/>
    <x v="0"/>
    <s v="West Virginia"/>
    <s v="Charleston"/>
    <x v="0"/>
    <n v="0.6"/>
    <n v="4500"/>
    <x v="52"/>
    <n v="1080"/>
    <n v="0.4"/>
  </r>
  <r>
    <x v="0"/>
    <x v="0"/>
    <x v="257"/>
    <x v="0"/>
    <s v="West Virginia"/>
    <s v="Charleston"/>
    <x v="1"/>
    <n v="0.5"/>
    <n v="2500"/>
    <x v="142"/>
    <n v="437.5"/>
    <n v="0.35"/>
  </r>
  <r>
    <x v="0"/>
    <x v="0"/>
    <x v="257"/>
    <x v="0"/>
    <s v="West Virginia"/>
    <s v="Charleston"/>
    <x v="2"/>
    <n v="0.5"/>
    <n v="2250"/>
    <x v="127"/>
    <n v="393.75"/>
    <n v="0.35"/>
  </r>
  <r>
    <x v="0"/>
    <x v="0"/>
    <x v="257"/>
    <x v="0"/>
    <s v="West Virginia"/>
    <s v="Charleston"/>
    <x v="3"/>
    <n v="0.5"/>
    <n v="1750"/>
    <x v="131"/>
    <n v="306.25"/>
    <n v="0.35"/>
  </r>
  <r>
    <x v="0"/>
    <x v="0"/>
    <x v="257"/>
    <x v="0"/>
    <s v="West Virginia"/>
    <s v="Charleston"/>
    <x v="4"/>
    <n v="0.6"/>
    <n v="1750"/>
    <x v="202"/>
    <n v="315"/>
    <n v="0.3"/>
  </r>
  <r>
    <x v="0"/>
    <x v="0"/>
    <x v="257"/>
    <x v="0"/>
    <s v="West Virginia"/>
    <s v="Charleston"/>
    <x v="5"/>
    <n v="0.64999999999999991"/>
    <n v="2750"/>
    <x v="410"/>
    <n v="536.24999999999989"/>
    <n v="0.3"/>
  </r>
  <r>
    <x v="0"/>
    <x v="0"/>
    <x v="102"/>
    <x v="0"/>
    <s v="Maryland"/>
    <s v="Baltimore"/>
    <x v="0"/>
    <n v="0.4"/>
    <n v="5250"/>
    <x v="193"/>
    <n v="735"/>
    <n v="0.35"/>
  </r>
  <r>
    <x v="0"/>
    <x v="0"/>
    <x v="102"/>
    <x v="0"/>
    <s v="Maryland"/>
    <s v="Baltimore"/>
    <x v="1"/>
    <n v="0.4"/>
    <n v="3250"/>
    <x v="194"/>
    <n v="454.99999999999994"/>
    <n v="0.35"/>
  </r>
  <r>
    <x v="0"/>
    <x v="0"/>
    <x v="102"/>
    <x v="0"/>
    <s v="Maryland"/>
    <s v="Baltimore"/>
    <x v="2"/>
    <n v="0.30000000000000004"/>
    <n v="3250"/>
    <x v="663"/>
    <n v="390.00000000000006"/>
    <n v="0.4"/>
  </r>
  <r>
    <x v="0"/>
    <x v="0"/>
    <x v="102"/>
    <x v="0"/>
    <s v="Maryland"/>
    <s v="Baltimore"/>
    <x v="3"/>
    <n v="0.35"/>
    <n v="1750"/>
    <x v="731"/>
    <n v="245"/>
    <n v="0.4"/>
  </r>
  <r>
    <x v="0"/>
    <x v="0"/>
    <x v="102"/>
    <x v="0"/>
    <s v="Maryland"/>
    <s v="Baltimore"/>
    <x v="4"/>
    <n v="0.5"/>
    <n v="2250"/>
    <x v="127"/>
    <n v="337.5"/>
    <n v="0.3"/>
  </r>
  <r>
    <x v="0"/>
    <x v="0"/>
    <x v="102"/>
    <x v="0"/>
    <s v="Maryland"/>
    <s v="Baltimore"/>
    <x v="5"/>
    <n v="0.4"/>
    <n v="3250"/>
    <x v="194"/>
    <n v="520"/>
    <n v="0.4"/>
  </r>
  <r>
    <x v="0"/>
    <x v="0"/>
    <x v="37"/>
    <x v="0"/>
    <s v="Maryland"/>
    <s v="Baltimore"/>
    <x v="0"/>
    <n v="0.4"/>
    <n v="5750"/>
    <x v="336"/>
    <n v="805"/>
    <n v="0.35"/>
  </r>
  <r>
    <x v="0"/>
    <x v="0"/>
    <x v="37"/>
    <x v="0"/>
    <s v="Maryland"/>
    <s v="Baltimore"/>
    <x v="1"/>
    <n v="0.4"/>
    <n v="2250"/>
    <x v="124"/>
    <n v="315"/>
    <n v="0.35"/>
  </r>
  <r>
    <x v="0"/>
    <x v="0"/>
    <x v="37"/>
    <x v="0"/>
    <s v="Maryland"/>
    <s v="Baltimore"/>
    <x v="2"/>
    <n v="0.30000000000000004"/>
    <n v="2750"/>
    <x v="188"/>
    <n v="330.00000000000006"/>
    <n v="0.4"/>
  </r>
  <r>
    <x v="0"/>
    <x v="0"/>
    <x v="37"/>
    <x v="0"/>
    <s v="Maryland"/>
    <s v="Baltimore"/>
    <x v="3"/>
    <n v="0.35"/>
    <n v="1500"/>
    <x v="311"/>
    <n v="210"/>
    <n v="0.4"/>
  </r>
  <r>
    <x v="0"/>
    <x v="0"/>
    <x v="37"/>
    <x v="0"/>
    <s v="Maryland"/>
    <s v="Baltimore"/>
    <x v="4"/>
    <n v="0.5"/>
    <n v="2250"/>
    <x v="127"/>
    <n v="337.5"/>
    <n v="0.3"/>
  </r>
  <r>
    <x v="0"/>
    <x v="0"/>
    <x v="37"/>
    <x v="0"/>
    <s v="Maryland"/>
    <s v="Baltimore"/>
    <x v="5"/>
    <n v="0.4"/>
    <n v="3250"/>
    <x v="194"/>
    <n v="520"/>
    <n v="0.4"/>
  </r>
  <r>
    <x v="0"/>
    <x v="0"/>
    <x v="258"/>
    <x v="0"/>
    <s v="Maryland"/>
    <s v="Baltimore"/>
    <x v="0"/>
    <n v="0.4"/>
    <n v="5450"/>
    <x v="732"/>
    <n v="763"/>
    <n v="0.35"/>
  </r>
  <r>
    <x v="0"/>
    <x v="0"/>
    <x v="258"/>
    <x v="0"/>
    <s v="Maryland"/>
    <s v="Baltimore"/>
    <x v="1"/>
    <n v="0.4"/>
    <n v="2500"/>
    <x v="123"/>
    <n v="350"/>
    <n v="0.35"/>
  </r>
  <r>
    <x v="0"/>
    <x v="0"/>
    <x v="258"/>
    <x v="0"/>
    <s v="Maryland"/>
    <s v="Baltimore"/>
    <x v="2"/>
    <n v="0.30000000000000004"/>
    <n v="2750"/>
    <x v="188"/>
    <n v="330.00000000000006"/>
    <n v="0.4"/>
  </r>
  <r>
    <x v="0"/>
    <x v="0"/>
    <x v="258"/>
    <x v="0"/>
    <s v="Maryland"/>
    <s v="Baltimore"/>
    <x v="3"/>
    <n v="0.35"/>
    <n v="1250"/>
    <x v="324"/>
    <n v="175"/>
    <n v="0.4"/>
  </r>
  <r>
    <x v="0"/>
    <x v="0"/>
    <x v="258"/>
    <x v="0"/>
    <s v="Maryland"/>
    <s v="Baltimore"/>
    <x v="4"/>
    <n v="0.5"/>
    <n v="1750"/>
    <x v="131"/>
    <n v="262.5"/>
    <n v="0.3"/>
  </r>
  <r>
    <x v="0"/>
    <x v="0"/>
    <x v="258"/>
    <x v="0"/>
    <s v="Maryland"/>
    <s v="Baltimore"/>
    <x v="5"/>
    <n v="0.4"/>
    <n v="2750"/>
    <x v="130"/>
    <n v="440"/>
    <n v="0.4"/>
  </r>
  <r>
    <x v="0"/>
    <x v="0"/>
    <x v="259"/>
    <x v="0"/>
    <s v="Maryland"/>
    <s v="Baltimore"/>
    <x v="0"/>
    <n v="0.4"/>
    <n v="5250"/>
    <x v="193"/>
    <n v="735"/>
    <n v="0.35"/>
  </r>
  <r>
    <x v="0"/>
    <x v="0"/>
    <x v="259"/>
    <x v="0"/>
    <s v="Maryland"/>
    <s v="Baltimore"/>
    <x v="1"/>
    <n v="0.4"/>
    <n v="2250"/>
    <x v="124"/>
    <n v="315"/>
    <n v="0.35"/>
  </r>
  <r>
    <x v="0"/>
    <x v="0"/>
    <x v="259"/>
    <x v="0"/>
    <s v="Maryland"/>
    <s v="Baltimore"/>
    <x v="2"/>
    <n v="0.30000000000000004"/>
    <n v="2250"/>
    <x v="318"/>
    <n v="270.00000000000006"/>
    <n v="0.4"/>
  </r>
  <r>
    <x v="0"/>
    <x v="0"/>
    <x v="259"/>
    <x v="0"/>
    <s v="Maryland"/>
    <s v="Baltimore"/>
    <x v="3"/>
    <n v="0.35"/>
    <n v="1500"/>
    <x v="311"/>
    <n v="210"/>
    <n v="0.4"/>
  </r>
  <r>
    <x v="0"/>
    <x v="0"/>
    <x v="259"/>
    <x v="0"/>
    <s v="Maryland"/>
    <s v="Baltimore"/>
    <x v="4"/>
    <n v="0.5"/>
    <n v="1500"/>
    <x v="126"/>
    <n v="225"/>
    <n v="0.3"/>
  </r>
  <r>
    <x v="0"/>
    <x v="0"/>
    <x v="259"/>
    <x v="0"/>
    <s v="Maryland"/>
    <s v="Baltimore"/>
    <x v="5"/>
    <n v="0.4"/>
    <n v="3000"/>
    <x v="147"/>
    <n v="480"/>
    <n v="0.4"/>
  </r>
  <r>
    <x v="0"/>
    <x v="0"/>
    <x v="236"/>
    <x v="0"/>
    <s v="Maryland"/>
    <s v="Baltimore"/>
    <x v="0"/>
    <n v="0.54999999999999993"/>
    <n v="5700"/>
    <x v="733"/>
    <n v="1097.2499999999998"/>
    <n v="0.35"/>
  </r>
  <r>
    <x v="0"/>
    <x v="0"/>
    <x v="236"/>
    <x v="0"/>
    <s v="Maryland"/>
    <s v="Baltimore"/>
    <x v="1"/>
    <n v="0.5"/>
    <n v="2750"/>
    <x v="140"/>
    <n v="481.24999999999994"/>
    <n v="0.35"/>
  </r>
  <r>
    <x v="0"/>
    <x v="0"/>
    <x v="236"/>
    <x v="0"/>
    <s v="Maryland"/>
    <s v="Baltimore"/>
    <x v="2"/>
    <n v="0.45"/>
    <n v="3000"/>
    <x v="198"/>
    <n v="540"/>
    <n v="0.4"/>
  </r>
  <r>
    <x v="0"/>
    <x v="0"/>
    <x v="236"/>
    <x v="0"/>
    <s v="Maryland"/>
    <s v="Baltimore"/>
    <x v="3"/>
    <n v="0.45"/>
    <n v="2500"/>
    <x v="127"/>
    <n v="450"/>
    <n v="0.4"/>
  </r>
  <r>
    <x v="0"/>
    <x v="0"/>
    <x v="236"/>
    <x v="0"/>
    <s v="Maryland"/>
    <s v="Baltimore"/>
    <x v="4"/>
    <n v="0.54999999999999993"/>
    <n v="2750"/>
    <x v="409"/>
    <n v="453.74999999999994"/>
    <n v="0.3"/>
  </r>
  <r>
    <x v="0"/>
    <x v="0"/>
    <x v="236"/>
    <x v="0"/>
    <s v="Maryland"/>
    <s v="Baltimore"/>
    <x v="5"/>
    <n v="0.6"/>
    <n v="4000"/>
    <x v="50"/>
    <n v="960"/>
    <n v="0.4"/>
  </r>
  <r>
    <x v="0"/>
    <x v="0"/>
    <x v="41"/>
    <x v="0"/>
    <s v="Maryland"/>
    <s v="Baltimore"/>
    <x v="0"/>
    <n v="0.54999999999999993"/>
    <n v="6500"/>
    <x v="734"/>
    <n v="1251.2499999999998"/>
    <n v="0.35"/>
  </r>
  <r>
    <x v="0"/>
    <x v="0"/>
    <x v="41"/>
    <x v="0"/>
    <s v="Maryland"/>
    <s v="Baltimore"/>
    <x v="1"/>
    <n v="0.5"/>
    <n v="4000"/>
    <x v="47"/>
    <n v="700"/>
    <n v="0.35"/>
  </r>
  <r>
    <x v="0"/>
    <x v="0"/>
    <x v="41"/>
    <x v="0"/>
    <s v="Maryland"/>
    <s v="Baltimore"/>
    <x v="2"/>
    <n v="0.45"/>
    <n v="3250"/>
    <x v="334"/>
    <n v="585"/>
    <n v="0.4"/>
  </r>
  <r>
    <x v="0"/>
    <x v="0"/>
    <x v="41"/>
    <x v="0"/>
    <s v="Maryland"/>
    <s v="Baltimore"/>
    <x v="3"/>
    <n v="0.45"/>
    <n v="3000"/>
    <x v="198"/>
    <n v="540"/>
    <n v="0.4"/>
  </r>
  <r>
    <x v="0"/>
    <x v="0"/>
    <x v="41"/>
    <x v="0"/>
    <s v="Maryland"/>
    <s v="Baltimore"/>
    <x v="4"/>
    <n v="0.54999999999999993"/>
    <n v="3000"/>
    <x v="209"/>
    <n v="494.99999999999989"/>
    <n v="0.3"/>
  </r>
  <r>
    <x v="0"/>
    <x v="0"/>
    <x v="41"/>
    <x v="0"/>
    <s v="Maryland"/>
    <s v="Baltimore"/>
    <x v="5"/>
    <n v="0.6"/>
    <n v="4500"/>
    <x v="52"/>
    <n v="1080"/>
    <n v="0.4"/>
  </r>
  <r>
    <x v="0"/>
    <x v="0"/>
    <x v="260"/>
    <x v="0"/>
    <s v="Maryland"/>
    <s v="Baltimore"/>
    <x v="0"/>
    <n v="0.54999999999999993"/>
    <n v="6750"/>
    <x v="353"/>
    <n v="1299.3749999999998"/>
    <n v="0.35"/>
  </r>
  <r>
    <x v="0"/>
    <x v="0"/>
    <x v="260"/>
    <x v="0"/>
    <s v="Maryland"/>
    <s v="Baltimore"/>
    <x v="1"/>
    <n v="0.5"/>
    <n v="4250"/>
    <x v="43"/>
    <n v="743.75"/>
    <n v="0.35"/>
  </r>
  <r>
    <x v="0"/>
    <x v="0"/>
    <x v="260"/>
    <x v="0"/>
    <s v="Maryland"/>
    <s v="Baltimore"/>
    <x v="2"/>
    <n v="0.45"/>
    <n v="3500"/>
    <x v="151"/>
    <n v="630"/>
    <n v="0.4"/>
  </r>
  <r>
    <x v="0"/>
    <x v="0"/>
    <x v="260"/>
    <x v="0"/>
    <s v="Maryland"/>
    <s v="Baltimore"/>
    <x v="3"/>
    <n v="0.45"/>
    <n v="3000"/>
    <x v="198"/>
    <n v="540"/>
    <n v="0.4"/>
  </r>
  <r>
    <x v="0"/>
    <x v="0"/>
    <x v="260"/>
    <x v="0"/>
    <s v="Maryland"/>
    <s v="Baltimore"/>
    <x v="4"/>
    <n v="0.54999999999999993"/>
    <n v="3250"/>
    <x v="410"/>
    <n v="536.24999999999989"/>
    <n v="0.3"/>
  </r>
  <r>
    <x v="0"/>
    <x v="0"/>
    <x v="260"/>
    <x v="0"/>
    <s v="Maryland"/>
    <s v="Baltimore"/>
    <x v="5"/>
    <n v="0.6"/>
    <n v="5000"/>
    <x v="61"/>
    <n v="1200"/>
    <n v="0.4"/>
  </r>
  <r>
    <x v="0"/>
    <x v="0"/>
    <x v="261"/>
    <x v="0"/>
    <s v="Maryland"/>
    <s v="Baltimore"/>
    <x v="0"/>
    <n v="0.54999999999999993"/>
    <n v="6500"/>
    <x v="734"/>
    <n v="1251.2499999999998"/>
    <n v="0.35"/>
  </r>
  <r>
    <x v="0"/>
    <x v="0"/>
    <x v="261"/>
    <x v="0"/>
    <s v="Maryland"/>
    <s v="Baltimore"/>
    <x v="1"/>
    <n v="0.5"/>
    <n v="4250"/>
    <x v="43"/>
    <n v="743.75"/>
    <n v="0.35"/>
  </r>
  <r>
    <x v="0"/>
    <x v="0"/>
    <x v="261"/>
    <x v="0"/>
    <s v="Maryland"/>
    <s v="Baltimore"/>
    <x v="2"/>
    <n v="0.45"/>
    <n v="3500"/>
    <x v="151"/>
    <n v="630"/>
    <n v="0.4"/>
  </r>
  <r>
    <x v="0"/>
    <x v="0"/>
    <x v="261"/>
    <x v="0"/>
    <s v="Maryland"/>
    <s v="Baltimore"/>
    <x v="3"/>
    <n v="0.45"/>
    <n v="2500"/>
    <x v="127"/>
    <n v="450"/>
    <n v="0.4"/>
  </r>
  <r>
    <x v="0"/>
    <x v="0"/>
    <x v="261"/>
    <x v="0"/>
    <s v="Maryland"/>
    <s v="Baltimore"/>
    <x v="4"/>
    <n v="0.54999999999999993"/>
    <n v="2250"/>
    <x v="427"/>
    <n v="371.24999999999994"/>
    <n v="0.3"/>
  </r>
  <r>
    <x v="0"/>
    <x v="0"/>
    <x v="261"/>
    <x v="0"/>
    <s v="Maryland"/>
    <s v="Baltimore"/>
    <x v="5"/>
    <n v="0.6"/>
    <n v="4000"/>
    <x v="50"/>
    <n v="960"/>
    <n v="0.4"/>
  </r>
  <r>
    <x v="0"/>
    <x v="0"/>
    <x v="239"/>
    <x v="0"/>
    <s v="Maryland"/>
    <s v="Baltimore"/>
    <x v="0"/>
    <n v="0.54999999999999993"/>
    <n v="5250"/>
    <x v="403"/>
    <n v="1010.6249999999998"/>
    <n v="0.35"/>
  </r>
  <r>
    <x v="0"/>
    <x v="0"/>
    <x v="239"/>
    <x v="0"/>
    <s v="Maryland"/>
    <s v="Baltimore"/>
    <x v="1"/>
    <n v="0.5"/>
    <n v="3250"/>
    <x v="132"/>
    <n v="568.75"/>
    <n v="0.35"/>
  </r>
  <r>
    <x v="0"/>
    <x v="0"/>
    <x v="239"/>
    <x v="0"/>
    <s v="Maryland"/>
    <s v="Baltimore"/>
    <x v="2"/>
    <n v="0.45"/>
    <n v="2250"/>
    <x v="177"/>
    <n v="405"/>
    <n v="0.4"/>
  </r>
  <r>
    <x v="0"/>
    <x v="0"/>
    <x v="239"/>
    <x v="0"/>
    <s v="Maryland"/>
    <s v="Baltimore"/>
    <x v="3"/>
    <n v="0.45"/>
    <n v="2000"/>
    <x v="124"/>
    <n v="360"/>
    <n v="0.4"/>
  </r>
  <r>
    <x v="0"/>
    <x v="0"/>
    <x v="239"/>
    <x v="0"/>
    <s v="Maryland"/>
    <s v="Baltimore"/>
    <x v="4"/>
    <n v="0.54999999999999993"/>
    <n v="2000"/>
    <x v="405"/>
    <n v="329.99999999999994"/>
    <n v="0.3"/>
  </r>
  <r>
    <x v="0"/>
    <x v="0"/>
    <x v="239"/>
    <x v="0"/>
    <s v="Maryland"/>
    <s v="Baltimore"/>
    <x v="5"/>
    <n v="0.6"/>
    <n v="3000"/>
    <x v="207"/>
    <n v="720"/>
    <n v="0.4"/>
  </r>
  <r>
    <x v="0"/>
    <x v="0"/>
    <x v="45"/>
    <x v="0"/>
    <s v="Maryland"/>
    <s v="Baltimore"/>
    <x v="0"/>
    <n v="0.6"/>
    <n v="4750"/>
    <x v="175"/>
    <n v="997.49999999999989"/>
    <n v="0.35"/>
  </r>
  <r>
    <x v="0"/>
    <x v="0"/>
    <x v="45"/>
    <x v="0"/>
    <s v="Maryland"/>
    <s v="Baltimore"/>
    <x v="1"/>
    <n v="0.55000000000000004"/>
    <n v="3000"/>
    <x v="205"/>
    <n v="577.5"/>
    <n v="0.35"/>
  </r>
  <r>
    <x v="0"/>
    <x v="0"/>
    <x v="45"/>
    <x v="0"/>
    <s v="Maryland"/>
    <s v="Baltimore"/>
    <x v="2"/>
    <n v="0.55000000000000004"/>
    <n v="2000"/>
    <x v="130"/>
    <n v="440"/>
    <n v="0.4"/>
  </r>
  <r>
    <x v="0"/>
    <x v="0"/>
    <x v="45"/>
    <x v="0"/>
    <s v="Maryland"/>
    <s v="Baltimore"/>
    <x v="3"/>
    <n v="0.55000000000000004"/>
    <n v="1750"/>
    <x v="117"/>
    <n v="385.00000000000006"/>
    <n v="0.4"/>
  </r>
  <r>
    <x v="0"/>
    <x v="0"/>
    <x v="45"/>
    <x v="0"/>
    <s v="Maryland"/>
    <s v="Baltimore"/>
    <x v="4"/>
    <n v="0.65"/>
    <n v="1750"/>
    <x v="165"/>
    <n v="341.25"/>
    <n v="0.3"/>
  </r>
  <r>
    <x v="0"/>
    <x v="0"/>
    <x v="45"/>
    <x v="0"/>
    <s v="Maryland"/>
    <s v="Baltimore"/>
    <x v="5"/>
    <n v="0.7"/>
    <n v="3000"/>
    <x v="193"/>
    <n v="840"/>
    <n v="0.4"/>
  </r>
  <r>
    <x v="0"/>
    <x v="0"/>
    <x v="262"/>
    <x v="0"/>
    <s v="Maryland"/>
    <s v="Baltimore"/>
    <x v="0"/>
    <n v="0.65"/>
    <n v="4500"/>
    <x v="62"/>
    <n v="1023.7499999999999"/>
    <n v="0.35"/>
  </r>
  <r>
    <x v="0"/>
    <x v="0"/>
    <x v="262"/>
    <x v="0"/>
    <s v="Maryland"/>
    <s v="Baltimore"/>
    <x v="1"/>
    <n v="0.55000000000000004"/>
    <n v="3250"/>
    <x v="255"/>
    <n v="625.625"/>
    <n v="0.35"/>
  </r>
  <r>
    <x v="0"/>
    <x v="0"/>
    <x v="262"/>
    <x v="0"/>
    <s v="Maryland"/>
    <s v="Baltimore"/>
    <x v="2"/>
    <n v="0.55000000000000004"/>
    <n v="3200"/>
    <x v="735"/>
    <n v="704.00000000000011"/>
    <n v="0.4"/>
  </r>
  <r>
    <x v="0"/>
    <x v="0"/>
    <x v="262"/>
    <x v="0"/>
    <s v="Maryland"/>
    <s v="Baltimore"/>
    <x v="3"/>
    <n v="0.55000000000000004"/>
    <n v="3000"/>
    <x v="205"/>
    <n v="660.00000000000011"/>
    <n v="0.4"/>
  </r>
  <r>
    <x v="0"/>
    <x v="0"/>
    <x v="262"/>
    <x v="0"/>
    <s v="Maryland"/>
    <s v="Baltimore"/>
    <x v="4"/>
    <n v="0.65"/>
    <n v="2750"/>
    <x v="736"/>
    <n v="536.25"/>
    <n v="0.3"/>
  </r>
  <r>
    <x v="0"/>
    <x v="0"/>
    <x v="262"/>
    <x v="0"/>
    <s v="Maryland"/>
    <s v="Baltimore"/>
    <x v="5"/>
    <n v="0.7"/>
    <n v="3750"/>
    <x v="48"/>
    <n v="1050"/>
    <n v="0.4"/>
  </r>
  <r>
    <x v="0"/>
    <x v="0"/>
    <x v="263"/>
    <x v="0"/>
    <s v="Maryland"/>
    <s v="Baltimore"/>
    <x v="0"/>
    <n v="0.65"/>
    <n v="6000"/>
    <x v="87"/>
    <n v="1365"/>
    <n v="0.35"/>
  </r>
  <r>
    <x v="0"/>
    <x v="0"/>
    <x v="263"/>
    <x v="0"/>
    <s v="Maryland"/>
    <s v="Baltimore"/>
    <x v="1"/>
    <n v="0.55000000000000004"/>
    <n v="4000"/>
    <x v="42"/>
    <n v="770"/>
    <n v="0.35"/>
  </r>
  <r>
    <x v="0"/>
    <x v="0"/>
    <x v="263"/>
    <x v="0"/>
    <s v="Maryland"/>
    <s v="Baltimore"/>
    <x v="2"/>
    <n v="0.55000000000000004"/>
    <n v="3750"/>
    <x v="138"/>
    <n v="825"/>
    <n v="0.4"/>
  </r>
  <r>
    <x v="0"/>
    <x v="0"/>
    <x v="263"/>
    <x v="0"/>
    <s v="Maryland"/>
    <s v="Baltimore"/>
    <x v="3"/>
    <n v="0.55000000000000004"/>
    <n v="3250"/>
    <x v="255"/>
    <n v="715.00000000000011"/>
    <n v="0.4"/>
  </r>
  <r>
    <x v="0"/>
    <x v="0"/>
    <x v="263"/>
    <x v="0"/>
    <s v="Maryland"/>
    <s v="Baltimore"/>
    <x v="4"/>
    <n v="0.65"/>
    <n v="3250"/>
    <x v="238"/>
    <n v="633.75"/>
    <n v="0.3"/>
  </r>
  <r>
    <x v="0"/>
    <x v="0"/>
    <x v="263"/>
    <x v="0"/>
    <s v="Maryland"/>
    <s v="Baltimore"/>
    <x v="5"/>
    <n v="0.7"/>
    <n v="4250"/>
    <x v="44"/>
    <n v="1190"/>
    <n v="0.4"/>
  </r>
  <r>
    <x v="0"/>
    <x v="0"/>
    <x v="136"/>
    <x v="0"/>
    <s v="Delaware"/>
    <s v="Wilmington"/>
    <x v="0"/>
    <n v="0.35000000000000003"/>
    <n v="4750"/>
    <x v="394"/>
    <n v="581.875"/>
    <n v="0.35"/>
  </r>
  <r>
    <x v="0"/>
    <x v="0"/>
    <x v="136"/>
    <x v="0"/>
    <s v="Delaware"/>
    <s v="Wilmington"/>
    <x v="1"/>
    <n v="0.35000000000000003"/>
    <n v="2750"/>
    <x v="117"/>
    <n v="336.875"/>
    <n v="0.35"/>
  </r>
  <r>
    <x v="0"/>
    <x v="0"/>
    <x v="136"/>
    <x v="0"/>
    <s v="Delaware"/>
    <s v="Wilmington"/>
    <x v="2"/>
    <n v="0.25000000000000006"/>
    <n v="2750"/>
    <x v="502"/>
    <n v="275.00000000000006"/>
    <n v="0.4"/>
  </r>
  <r>
    <x v="0"/>
    <x v="0"/>
    <x v="136"/>
    <x v="0"/>
    <s v="Delaware"/>
    <s v="Wilmington"/>
    <x v="3"/>
    <n v="0.3"/>
    <n v="1250"/>
    <x v="316"/>
    <n v="150"/>
    <n v="0.4"/>
  </r>
  <r>
    <x v="0"/>
    <x v="0"/>
    <x v="136"/>
    <x v="0"/>
    <s v="Delaware"/>
    <s v="Wilmington"/>
    <x v="4"/>
    <n v="0.45"/>
    <n v="1750"/>
    <x v="120"/>
    <n v="236.25"/>
    <n v="0.3"/>
  </r>
  <r>
    <x v="0"/>
    <x v="0"/>
    <x v="136"/>
    <x v="0"/>
    <s v="Delaware"/>
    <s v="Wilmington"/>
    <x v="5"/>
    <n v="0.35000000000000003"/>
    <n v="2750"/>
    <x v="117"/>
    <n v="385.00000000000006"/>
    <n v="0.4"/>
  </r>
  <r>
    <x v="0"/>
    <x v="0"/>
    <x v="264"/>
    <x v="0"/>
    <s v="Delaware"/>
    <s v="Wilmington"/>
    <x v="0"/>
    <n v="0.35000000000000003"/>
    <n v="5250"/>
    <x v="450"/>
    <n v="643.125"/>
    <n v="0.35"/>
  </r>
  <r>
    <x v="0"/>
    <x v="0"/>
    <x v="264"/>
    <x v="0"/>
    <s v="Delaware"/>
    <s v="Wilmington"/>
    <x v="1"/>
    <n v="0.35000000000000003"/>
    <n v="1750"/>
    <x v="181"/>
    <n v="214.37500000000003"/>
    <n v="0.35"/>
  </r>
  <r>
    <x v="0"/>
    <x v="0"/>
    <x v="264"/>
    <x v="0"/>
    <s v="Delaware"/>
    <s v="Wilmington"/>
    <x v="2"/>
    <n v="0.25000000000000006"/>
    <n v="2250"/>
    <x v="469"/>
    <n v="225.00000000000006"/>
    <n v="0.4"/>
  </r>
  <r>
    <x v="0"/>
    <x v="0"/>
    <x v="264"/>
    <x v="0"/>
    <s v="Delaware"/>
    <s v="Wilmington"/>
    <x v="3"/>
    <n v="0.3"/>
    <n v="1000"/>
    <x v="178"/>
    <n v="120"/>
    <n v="0.4"/>
  </r>
  <r>
    <x v="0"/>
    <x v="0"/>
    <x v="264"/>
    <x v="0"/>
    <s v="Delaware"/>
    <s v="Wilmington"/>
    <x v="4"/>
    <n v="0.45"/>
    <n v="1750"/>
    <x v="120"/>
    <n v="236.25"/>
    <n v="0.3"/>
  </r>
  <r>
    <x v="0"/>
    <x v="0"/>
    <x v="264"/>
    <x v="0"/>
    <s v="Delaware"/>
    <s v="Wilmington"/>
    <x v="5"/>
    <n v="0.35000000000000003"/>
    <n v="2750"/>
    <x v="117"/>
    <n v="385.00000000000006"/>
    <n v="0.4"/>
  </r>
  <r>
    <x v="0"/>
    <x v="0"/>
    <x v="173"/>
    <x v="0"/>
    <s v="Delaware"/>
    <s v="Wilmington"/>
    <x v="0"/>
    <n v="0.35000000000000003"/>
    <n v="4950"/>
    <x v="737"/>
    <n v="606.375"/>
    <n v="0.35"/>
  </r>
  <r>
    <x v="0"/>
    <x v="0"/>
    <x v="173"/>
    <x v="0"/>
    <s v="Delaware"/>
    <s v="Wilmington"/>
    <x v="1"/>
    <n v="0.35000000000000003"/>
    <n v="2000"/>
    <x v="320"/>
    <n v="245.00000000000003"/>
    <n v="0.35"/>
  </r>
  <r>
    <x v="0"/>
    <x v="0"/>
    <x v="173"/>
    <x v="0"/>
    <s v="Delaware"/>
    <s v="Wilmington"/>
    <x v="2"/>
    <n v="0.25000000000000006"/>
    <n v="2250"/>
    <x v="469"/>
    <n v="225.00000000000006"/>
    <n v="0.4"/>
  </r>
  <r>
    <x v="0"/>
    <x v="0"/>
    <x v="173"/>
    <x v="0"/>
    <s v="Delaware"/>
    <s v="Wilmington"/>
    <x v="3"/>
    <n v="0.3"/>
    <n v="750"/>
    <x v="375"/>
    <n v="90"/>
    <n v="0.4"/>
  </r>
  <r>
    <x v="0"/>
    <x v="0"/>
    <x v="173"/>
    <x v="0"/>
    <s v="Delaware"/>
    <s v="Wilmington"/>
    <x v="4"/>
    <n v="0.45"/>
    <n v="1250"/>
    <x v="180"/>
    <n v="168.75"/>
    <n v="0.3"/>
  </r>
  <r>
    <x v="0"/>
    <x v="0"/>
    <x v="173"/>
    <x v="0"/>
    <s v="Delaware"/>
    <s v="Wilmington"/>
    <x v="5"/>
    <n v="0.35000000000000003"/>
    <n v="2250"/>
    <x v="121"/>
    <n v="315.00000000000006"/>
    <n v="0.4"/>
  </r>
  <r>
    <x v="0"/>
    <x v="0"/>
    <x v="265"/>
    <x v="0"/>
    <s v="Delaware"/>
    <s v="Wilmington"/>
    <x v="0"/>
    <n v="0.35000000000000003"/>
    <n v="4750"/>
    <x v="394"/>
    <n v="581.875"/>
    <n v="0.35"/>
  </r>
  <r>
    <x v="0"/>
    <x v="0"/>
    <x v="265"/>
    <x v="0"/>
    <s v="Delaware"/>
    <s v="Wilmington"/>
    <x v="1"/>
    <n v="0.35000000000000003"/>
    <n v="1750"/>
    <x v="181"/>
    <n v="214.37500000000003"/>
    <n v="0.35"/>
  </r>
  <r>
    <x v="0"/>
    <x v="0"/>
    <x v="265"/>
    <x v="0"/>
    <s v="Delaware"/>
    <s v="Wilmington"/>
    <x v="2"/>
    <n v="0.25000000000000006"/>
    <n v="1750"/>
    <x v="706"/>
    <n v="175.00000000000006"/>
    <n v="0.4"/>
  </r>
  <r>
    <x v="0"/>
    <x v="0"/>
    <x v="265"/>
    <x v="0"/>
    <s v="Delaware"/>
    <s v="Wilmington"/>
    <x v="3"/>
    <n v="0.3"/>
    <n v="1000"/>
    <x v="178"/>
    <n v="120"/>
    <n v="0.4"/>
  </r>
  <r>
    <x v="0"/>
    <x v="0"/>
    <x v="265"/>
    <x v="0"/>
    <s v="Delaware"/>
    <s v="Wilmington"/>
    <x v="4"/>
    <n v="0.45"/>
    <n v="1000"/>
    <x v="185"/>
    <n v="135"/>
    <n v="0.3"/>
  </r>
  <r>
    <x v="0"/>
    <x v="0"/>
    <x v="265"/>
    <x v="0"/>
    <s v="Delaware"/>
    <s v="Wilmington"/>
    <x v="5"/>
    <n v="0.35000000000000003"/>
    <n v="2500"/>
    <x v="622"/>
    <n v="350.00000000000006"/>
    <n v="0.4"/>
  </r>
  <r>
    <x v="0"/>
    <x v="0"/>
    <x v="61"/>
    <x v="0"/>
    <s v="Delaware"/>
    <s v="Wilmington"/>
    <x v="0"/>
    <n v="0.49999999999999994"/>
    <n v="5200"/>
    <x v="719"/>
    <n v="909.99999999999977"/>
    <n v="0.35"/>
  </r>
  <r>
    <x v="0"/>
    <x v="0"/>
    <x v="61"/>
    <x v="0"/>
    <s v="Delaware"/>
    <s v="Wilmington"/>
    <x v="1"/>
    <n v="0.45"/>
    <n v="2250"/>
    <x v="177"/>
    <n v="354.375"/>
    <n v="0.35"/>
  </r>
  <r>
    <x v="0"/>
    <x v="0"/>
    <x v="61"/>
    <x v="0"/>
    <s v="Delaware"/>
    <s v="Wilmington"/>
    <x v="2"/>
    <n v="0.4"/>
    <n v="2500"/>
    <x v="123"/>
    <n v="400"/>
    <n v="0.4"/>
  </r>
  <r>
    <x v="0"/>
    <x v="0"/>
    <x v="61"/>
    <x v="0"/>
    <s v="Delaware"/>
    <s v="Wilmington"/>
    <x v="3"/>
    <n v="0.4"/>
    <n v="2000"/>
    <x v="134"/>
    <n v="320"/>
    <n v="0.4"/>
  </r>
  <r>
    <x v="0"/>
    <x v="0"/>
    <x v="61"/>
    <x v="0"/>
    <s v="Delaware"/>
    <s v="Wilmington"/>
    <x v="4"/>
    <n v="0.49999999999999994"/>
    <n v="2250"/>
    <x v="486"/>
    <n v="337.49999999999994"/>
    <n v="0.3"/>
  </r>
  <r>
    <x v="0"/>
    <x v="0"/>
    <x v="61"/>
    <x v="0"/>
    <s v="Delaware"/>
    <s v="Wilmington"/>
    <x v="5"/>
    <n v="0.54999999999999993"/>
    <n v="3500"/>
    <x v="237"/>
    <n v="770"/>
    <n v="0.4"/>
  </r>
  <r>
    <x v="0"/>
    <x v="0"/>
    <x v="266"/>
    <x v="0"/>
    <s v="Delaware"/>
    <s v="Wilmington"/>
    <x v="0"/>
    <n v="0.49999999999999994"/>
    <n v="6000"/>
    <x v="591"/>
    <n v="1049.9999999999998"/>
    <n v="0.35"/>
  </r>
  <r>
    <x v="0"/>
    <x v="0"/>
    <x v="266"/>
    <x v="0"/>
    <s v="Delaware"/>
    <s v="Wilmington"/>
    <x v="1"/>
    <n v="0.45"/>
    <n v="3500"/>
    <x v="151"/>
    <n v="551.25"/>
    <n v="0.35"/>
  </r>
  <r>
    <x v="0"/>
    <x v="0"/>
    <x v="266"/>
    <x v="0"/>
    <s v="Delaware"/>
    <s v="Wilmington"/>
    <x v="2"/>
    <n v="0.4"/>
    <n v="2750"/>
    <x v="130"/>
    <n v="440"/>
    <n v="0.4"/>
  </r>
  <r>
    <x v="0"/>
    <x v="0"/>
    <x v="266"/>
    <x v="0"/>
    <s v="Delaware"/>
    <s v="Wilmington"/>
    <x v="3"/>
    <n v="0.4"/>
    <n v="2500"/>
    <x v="123"/>
    <n v="400"/>
    <n v="0.4"/>
  </r>
  <r>
    <x v="0"/>
    <x v="0"/>
    <x v="266"/>
    <x v="0"/>
    <s v="Delaware"/>
    <s v="Wilmington"/>
    <x v="4"/>
    <n v="0.49999999999999994"/>
    <n v="2500"/>
    <x v="589"/>
    <n v="374.99999999999994"/>
    <n v="0.3"/>
  </r>
  <r>
    <x v="0"/>
    <x v="0"/>
    <x v="266"/>
    <x v="0"/>
    <s v="Delaware"/>
    <s v="Wilmington"/>
    <x v="5"/>
    <n v="0.54999999999999993"/>
    <n v="4000"/>
    <x v="208"/>
    <n v="879.99999999999989"/>
    <n v="0.4"/>
  </r>
  <r>
    <x v="0"/>
    <x v="0"/>
    <x v="176"/>
    <x v="0"/>
    <s v="Delaware"/>
    <s v="Wilmington"/>
    <x v="0"/>
    <n v="0.49999999999999994"/>
    <n v="6250"/>
    <x v="738"/>
    <n v="1093.7499999999998"/>
    <n v="0.35"/>
  </r>
  <r>
    <x v="0"/>
    <x v="0"/>
    <x v="176"/>
    <x v="0"/>
    <s v="Delaware"/>
    <s v="Wilmington"/>
    <x v="1"/>
    <n v="0.45"/>
    <n v="3750"/>
    <x v="153"/>
    <n v="590.625"/>
    <n v="0.35"/>
  </r>
  <r>
    <x v="0"/>
    <x v="0"/>
    <x v="176"/>
    <x v="0"/>
    <s v="Delaware"/>
    <s v="Wilmington"/>
    <x v="2"/>
    <n v="0.4"/>
    <n v="3000"/>
    <x v="147"/>
    <n v="480"/>
    <n v="0.4"/>
  </r>
  <r>
    <x v="0"/>
    <x v="0"/>
    <x v="176"/>
    <x v="0"/>
    <s v="Delaware"/>
    <s v="Wilmington"/>
    <x v="3"/>
    <n v="0.4"/>
    <n v="2500"/>
    <x v="123"/>
    <n v="400"/>
    <n v="0.4"/>
  </r>
  <r>
    <x v="0"/>
    <x v="0"/>
    <x v="176"/>
    <x v="0"/>
    <s v="Delaware"/>
    <s v="Wilmington"/>
    <x v="4"/>
    <n v="0.49999999999999994"/>
    <n v="2750"/>
    <x v="695"/>
    <n v="412.49999999999994"/>
    <n v="0.3"/>
  </r>
  <r>
    <x v="0"/>
    <x v="0"/>
    <x v="176"/>
    <x v="0"/>
    <s v="Delaware"/>
    <s v="Wilmington"/>
    <x v="5"/>
    <n v="0.54999999999999993"/>
    <n v="4500"/>
    <x v="357"/>
    <n v="989.99999999999989"/>
    <n v="0.4"/>
  </r>
  <r>
    <x v="0"/>
    <x v="0"/>
    <x v="117"/>
    <x v="0"/>
    <s v="Delaware"/>
    <s v="Wilmington"/>
    <x v="0"/>
    <n v="0.49999999999999994"/>
    <n v="6000"/>
    <x v="591"/>
    <n v="1049.9999999999998"/>
    <n v="0.35"/>
  </r>
  <r>
    <x v="0"/>
    <x v="0"/>
    <x v="117"/>
    <x v="0"/>
    <s v="Delaware"/>
    <s v="Wilmington"/>
    <x v="1"/>
    <n v="0.45"/>
    <n v="3750"/>
    <x v="153"/>
    <n v="590.625"/>
    <n v="0.35"/>
  </r>
  <r>
    <x v="0"/>
    <x v="0"/>
    <x v="117"/>
    <x v="0"/>
    <s v="Delaware"/>
    <s v="Wilmington"/>
    <x v="2"/>
    <n v="0.4"/>
    <n v="3000"/>
    <x v="147"/>
    <n v="480"/>
    <n v="0.4"/>
  </r>
  <r>
    <x v="0"/>
    <x v="0"/>
    <x v="117"/>
    <x v="0"/>
    <s v="Delaware"/>
    <s v="Wilmington"/>
    <x v="3"/>
    <n v="0.4"/>
    <n v="2000"/>
    <x v="134"/>
    <n v="320"/>
    <n v="0.4"/>
  </r>
  <r>
    <x v="0"/>
    <x v="0"/>
    <x v="117"/>
    <x v="0"/>
    <s v="Delaware"/>
    <s v="Wilmington"/>
    <x v="4"/>
    <n v="0.49999999999999994"/>
    <n v="1750"/>
    <x v="688"/>
    <n v="262.49999999999994"/>
    <n v="0.3"/>
  </r>
  <r>
    <x v="0"/>
    <x v="0"/>
    <x v="117"/>
    <x v="0"/>
    <s v="Delaware"/>
    <s v="Wilmington"/>
    <x v="5"/>
    <n v="0.54999999999999993"/>
    <n v="3500"/>
    <x v="237"/>
    <n v="770"/>
    <n v="0.4"/>
  </r>
  <r>
    <x v="0"/>
    <x v="0"/>
    <x v="63"/>
    <x v="0"/>
    <s v="Delaware"/>
    <s v="Wilmington"/>
    <x v="0"/>
    <n v="0.49999999999999994"/>
    <n v="4750"/>
    <x v="739"/>
    <n v="831.24999999999977"/>
    <n v="0.35"/>
  </r>
  <r>
    <x v="0"/>
    <x v="0"/>
    <x v="63"/>
    <x v="0"/>
    <s v="Delaware"/>
    <s v="Wilmington"/>
    <x v="1"/>
    <n v="0.45"/>
    <n v="2750"/>
    <x v="116"/>
    <n v="433.125"/>
    <n v="0.35"/>
  </r>
  <r>
    <x v="0"/>
    <x v="0"/>
    <x v="63"/>
    <x v="0"/>
    <s v="Delaware"/>
    <s v="Wilmington"/>
    <x v="2"/>
    <n v="0.4"/>
    <n v="1750"/>
    <x v="135"/>
    <n v="280"/>
    <n v="0.4"/>
  </r>
  <r>
    <x v="0"/>
    <x v="0"/>
    <x v="63"/>
    <x v="0"/>
    <s v="Delaware"/>
    <s v="Wilmington"/>
    <x v="3"/>
    <n v="0.4"/>
    <n v="1500"/>
    <x v="128"/>
    <n v="240"/>
    <n v="0.4"/>
  </r>
  <r>
    <x v="0"/>
    <x v="0"/>
    <x v="63"/>
    <x v="0"/>
    <s v="Delaware"/>
    <s v="Wilmington"/>
    <x v="4"/>
    <n v="0.49999999999999994"/>
    <n v="1500"/>
    <x v="382"/>
    <n v="224.99999999999997"/>
    <n v="0.3"/>
  </r>
  <r>
    <x v="0"/>
    <x v="0"/>
    <x v="63"/>
    <x v="0"/>
    <s v="Delaware"/>
    <s v="Wilmington"/>
    <x v="5"/>
    <n v="0.54999999999999993"/>
    <n v="2500"/>
    <x v="695"/>
    <n v="549.99999999999989"/>
    <n v="0.4"/>
  </r>
  <r>
    <x v="0"/>
    <x v="0"/>
    <x v="267"/>
    <x v="0"/>
    <s v="Delaware"/>
    <s v="Wilmington"/>
    <x v="0"/>
    <n v="0.54999999999999993"/>
    <n v="4250"/>
    <x v="338"/>
    <n v="818.12499999999977"/>
    <n v="0.35"/>
  </r>
  <r>
    <x v="0"/>
    <x v="0"/>
    <x v="267"/>
    <x v="0"/>
    <s v="Delaware"/>
    <s v="Wilmington"/>
    <x v="1"/>
    <n v="0.5"/>
    <n v="2500"/>
    <x v="142"/>
    <n v="437.5"/>
    <n v="0.35"/>
  </r>
  <r>
    <x v="0"/>
    <x v="0"/>
    <x v="267"/>
    <x v="0"/>
    <s v="Delaware"/>
    <s v="Wilmington"/>
    <x v="2"/>
    <n v="0.5"/>
    <n v="1500"/>
    <x v="126"/>
    <n v="300"/>
    <n v="0.4"/>
  </r>
  <r>
    <x v="0"/>
    <x v="0"/>
    <x v="267"/>
    <x v="0"/>
    <s v="Delaware"/>
    <s v="Wilmington"/>
    <x v="3"/>
    <n v="0.5"/>
    <n v="1250"/>
    <x v="143"/>
    <n v="250"/>
    <n v="0.4"/>
  </r>
  <r>
    <x v="0"/>
    <x v="0"/>
    <x v="267"/>
    <x v="0"/>
    <s v="Delaware"/>
    <s v="Wilmington"/>
    <x v="4"/>
    <n v="0.6"/>
    <n v="1250"/>
    <x v="126"/>
    <n v="225"/>
    <n v="0.3"/>
  </r>
  <r>
    <x v="0"/>
    <x v="0"/>
    <x v="267"/>
    <x v="0"/>
    <s v="Delaware"/>
    <s v="Wilmington"/>
    <x v="5"/>
    <n v="0.64999999999999991"/>
    <n v="2500"/>
    <x v="144"/>
    <n v="650"/>
    <n v="0.4"/>
  </r>
  <r>
    <x v="0"/>
    <x v="0"/>
    <x v="268"/>
    <x v="0"/>
    <s v="Delaware"/>
    <s v="Wilmington"/>
    <x v="0"/>
    <n v="0.6"/>
    <n v="4000"/>
    <x v="50"/>
    <n v="840"/>
    <n v="0.35"/>
  </r>
  <r>
    <x v="0"/>
    <x v="0"/>
    <x v="268"/>
    <x v="0"/>
    <s v="Delaware"/>
    <s v="Wilmington"/>
    <x v="1"/>
    <n v="0.5"/>
    <n v="2750"/>
    <x v="140"/>
    <n v="481.24999999999994"/>
    <n v="0.35"/>
  </r>
  <r>
    <x v="0"/>
    <x v="0"/>
    <x v="268"/>
    <x v="0"/>
    <s v="Delaware"/>
    <s v="Wilmington"/>
    <x v="2"/>
    <n v="0.5"/>
    <n v="2700"/>
    <x v="198"/>
    <n v="540"/>
    <n v="0.4"/>
  </r>
  <r>
    <x v="0"/>
    <x v="0"/>
    <x v="268"/>
    <x v="0"/>
    <s v="Delaware"/>
    <s v="Wilmington"/>
    <x v="3"/>
    <n v="0.5"/>
    <n v="2500"/>
    <x v="142"/>
    <n v="500"/>
    <n v="0.4"/>
  </r>
  <r>
    <x v="0"/>
    <x v="0"/>
    <x v="268"/>
    <x v="0"/>
    <s v="Delaware"/>
    <s v="Wilmington"/>
    <x v="4"/>
    <n v="0.6"/>
    <n v="2250"/>
    <x v="198"/>
    <n v="405"/>
    <n v="0.3"/>
  </r>
  <r>
    <x v="0"/>
    <x v="0"/>
    <x v="268"/>
    <x v="0"/>
    <s v="Delaware"/>
    <s v="Wilmington"/>
    <x v="5"/>
    <n v="0.64999999999999991"/>
    <n v="3250"/>
    <x v="262"/>
    <n v="844.99999999999989"/>
    <n v="0.4"/>
  </r>
  <r>
    <x v="0"/>
    <x v="0"/>
    <x v="269"/>
    <x v="0"/>
    <s v="Delaware"/>
    <s v="Wilmington"/>
    <x v="0"/>
    <n v="0.6"/>
    <n v="5500"/>
    <x v="211"/>
    <n v="1155"/>
    <n v="0.35"/>
  </r>
  <r>
    <x v="0"/>
    <x v="0"/>
    <x v="269"/>
    <x v="0"/>
    <s v="Delaware"/>
    <s v="Wilmington"/>
    <x v="1"/>
    <n v="0.5"/>
    <n v="3500"/>
    <x v="157"/>
    <n v="612.5"/>
    <n v="0.35"/>
  </r>
  <r>
    <x v="0"/>
    <x v="0"/>
    <x v="269"/>
    <x v="0"/>
    <s v="Delaware"/>
    <s v="Wilmington"/>
    <x v="2"/>
    <n v="0.5"/>
    <n v="3250"/>
    <x v="132"/>
    <n v="650"/>
    <n v="0.4"/>
  </r>
  <r>
    <x v="0"/>
    <x v="0"/>
    <x v="269"/>
    <x v="0"/>
    <s v="Delaware"/>
    <s v="Wilmington"/>
    <x v="3"/>
    <n v="0.5"/>
    <n v="2750"/>
    <x v="140"/>
    <n v="550"/>
    <n v="0.4"/>
  </r>
  <r>
    <x v="0"/>
    <x v="0"/>
    <x v="269"/>
    <x v="0"/>
    <s v="Delaware"/>
    <s v="Wilmington"/>
    <x v="4"/>
    <n v="0.6"/>
    <n v="2750"/>
    <x v="240"/>
    <n v="495"/>
    <n v="0.3"/>
  </r>
  <r>
    <x v="0"/>
    <x v="0"/>
    <x v="269"/>
    <x v="0"/>
    <s v="Delaware"/>
    <s v="Wilmington"/>
    <x v="5"/>
    <n v="0.64999999999999991"/>
    <n v="3750"/>
    <x v="264"/>
    <n v="974.99999999999989"/>
    <n v="0.4"/>
  </r>
  <r>
    <x v="0"/>
    <x v="0"/>
    <x v="48"/>
    <x v="0"/>
    <s v="New Jersey"/>
    <s v="Newark"/>
    <x v="0"/>
    <n v="0.4"/>
    <n v="5000"/>
    <x v="47"/>
    <n v="800"/>
    <n v="0.4"/>
  </r>
  <r>
    <x v="0"/>
    <x v="0"/>
    <x v="48"/>
    <x v="0"/>
    <s v="New Jersey"/>
    <s v="Newark"/>
    <x v="1"/>
    <n v="0.4"/>
    <n v="3000"/>
    <x v="147"/>
    <n v="480"/>
    <n v="0.4"/>
  </r>
  <r>
    <x v="0"/>
    <x v="0"/>
    <x v="48"/>
    <x v="0"/>
    <s v="New Jersey"/>
    <s v="Newark"/>
    <x v="2"/>
    <n v="0.30000000000000004"/>
    <n v="3000"/>
    <x v="395"/>
    <n v="270"/>
    <n v="0.3"/>
  </r>
  <r>
    <x v="0"/>
    <x v="0"/>
    <x v="48"/>
    <x v="0"/>
    <s v="New Jersey"/>
    <s v="Newark"/>
    <x v="3"/>
    <n v="0.35"/>
    <n v="1500"/>
    <x v="311"/>
    <n v="157.5"/>
    <n v="0.3"/>
  </r>
  <r>
    <x v="0"/>
    <x v="0"/>
    <x v="48"/>
    <x v="0"/>
    <s v="New Jersey"/>
    <s v="Newark"/>
    <x v="4"/>
    <n v="0.5"/>
    <n v="2000"/>
    <x v="123"/>
    <n v="300"/>
    <n v="0.3"/>
  </r>
  <r>
    <x v="0"/>
    <x v="0"/>
    <x v="48"/>
    <x v="0"/>
    <s v="New Jersey"/>
    <s v="Newark"/>
    <x v="5"/>
    <n v="0.4"/>
    <n v="3000"/>
    <x v="147"/>
    <n v="420"/>
    <n v="0.35"/>
  </r>
  <r>
    <x v="0"/>
    <x v="0"/>
    <x v="49"/>
    <x v="0"/>
    <s v="New Jersey"/>
    <s v="Newark"/>
    <x v="0"/>
    <n v="0.4"/>
    <n v="5500"/>
    <x v="42"/>
    <n v="880"/>
    <n v="0.4"/>
  </r>
  <r>
    <x v="0"/>
    <x v="0"/>
    <x v="49"/>
    <x v="0"/>
    <s v="New Jersey"/>
    <s v="Newark"/>
    <x v="1"/>
    <n v="0.4"/>
    <n v="2000"/>
    <x v="134"/>
    <n v="320"/>
    <n v="0.4"/>
  </r>
  <r>
    <x v="0"/>
    <x v="0"/>
    <x v="49"/>
    <x v="0"/>
    <s v="New Jersey"/>
    <s v="Newark"/>
    <x v="2"/>
    <n v="0.30000000000000004"/>
    <n v="2500"/>
    <x v="398"/>
    <n v="225.00000000000003"/>
    <n v="0.3"/>
  </r>
  <r>
    <x v="0"/>
    <x v="0"/>
    <x v="49"/>
    <x v="0"/>
    <s v="New Jersey"/>
    <s v="Newark"/>
    <x v="3"/>
    <n v="0.35"/>
    <n v="1250"/>
    <x v="324"/>
    <n v="131.25"/>
    <n v="0.3"/>
  </r>
  <r>
    <x v="0"/>
    <x v="0"/>
    <x v="49"/>
    <x v="0"/>
    <s v="New Jersey"/>
    <s v="Newark"/>
    <x v="4"/>
    <n v="0.5"/>
    <n v="2000"/>
    <x v="123"/>
    <n v="300"/>
    <n v="0.3"/>
  </r>
  <r>
    <x v="0"/>
    <x v="0"/>
    <x v="49"/>
    <x v="0"/>
    <s v="New Jersey"/>
    <s v="Newark"/>
    <x v="5"/>
    <n v="0.4"/>
    <n v="3000"/>
    <x v="147"/>
    <n v="420"/>
    <n v="0.35"/>
  </r>
  <r>
    <x v="0"/>
    <x v="0"/>
    <x v="14"/>
    <x v="0"/>
    <s v="New Jersey"/>
    <s v="Newark"/>
    <x v="0"/>
    <n v="0.4"/>
    <n v="5200"/>
    <x v="740"/>
    <n v="832"/>
    <n v="0.4"/>
  </r>
  <r>
    <x v="0"/>
    <x v="0"/>
    <x v="14"/>
    <x v="0"/>
    <s v="New Jersey"/>
    <s v="Newark"/>
    <x v="1"/>
    <n v="0.4"/>
    <n v="2250"/>
    <x v="124"/>
    <n v="360"/>
    <n v="0.4"/>
  </r>
  <r>
    <x v="0"/>
    <x v="0"/>
    <x v="14"/>
    <x v="0"/>
    <s v="New Jersey"/>
    <s v="Newark"/>
    <x v="2"/>
    <n v="0.30000000000000004"/>
    <n v="2500"/>
    <x v="398"/>
    <n v="225.00000000000003"/>
    <n v="0.3"/>
  </r>
  <r>
    <x v="0"/>
    <x v="0"/>
    <x v="14"/>
    <x v="0"/>
    <s v="New Jersey"/>
    <s v="Newark"/>
    <x v="3"/>
    <n v="0.35"/>
    <n v="1000"/>
    <x v="326"/>
    <n v="105"/>
    <n v="0.3"/>
  </r>
  <r>
    <x v="0"/>
    <x v="0"/>
    <x v="14"/>
    <x v="0"/>
    <s v="New Jersey"/>
    <s v="Newark"/>
    <x v="4"/>
    <n v="0.5"/>
    <n v="1500"/>
    <x v="126"/>
    <n v="225"/>
    <n v="0.3"/>
  </r>
  <r>
    <x v="0"/>
    <x v="0"/>
    <x v="14"/>
    <x v="0"/>
    <s v="New Jersey"/>
    <s v="Newark"/>
    <x v="5"/>
    <n v="0.4"/>
    <n v="2500"/>
    <x v="123"/>
    <n v="350"/>
    <n v="0.35"/>
  </r>
  <r>
    <x v="0"/>
    <x v="0"/>
    <x v="50"/>
    <x v="0"/>
    <s v="New Jersey"/>
    <s v="Newark"/>
    <x v="0"/>
    <n v="0.4"/>
    <n v="5000"/>
    <x v="47"/>
    <n v="800"/>
    <n v="0.4"/>
  </r>
  <r>
    <x v="0"/>
    <x v="0"/>
    <x v="50"/>
    <x v="0"/>
    <s v="New Jersey"/>
    <s v="Newark"/>
    <x v="1"/>
    <n v="0.4"/>
    <n v="2000"/>
    <x v="134"/>
    <n v="320"/>
    <n v="0.4"/>
  </r>
  <r>
    <x v="0"/>
    <x v="0"/>
    <x v="50"/>
    <x v="0"/>
    <s v="New Jersey"/>
    <s v="Newark"/>
    <x v="2"/>
    <n v="0.30000000000000004"/>
    <n v="2000"/>
    <x v="399"/>
    <n v="180.00000000000003"/>
    <n v="0.3"/>
  </r>
  <r>
    <x v="0"/>
    <x v="0"/>
    <x v="50"/>
    <x v="0"/>
    <s v="New Jersey"/>
    <s v="Newark"/>
    <x v="3"/>
    <n v="0.35"/>
    <n v="1250"/>
    <x v="324"/>
    <n v="131.25"/>
    <n v="0.3"/>
  </r>
  <r>
    <x v="0"/>
    <x v="0"/>
    <x v="50"/>
    <x v="0"/>
    <s v="New Jersey"/>
    <s v="Newark"/>
    <x v="4"/>
    <n v="0.5"/>
    <n v="1250"/>
    <x v="143"/>
    <n v="187.5"/>
    <n v="0.3"/>
  </r>
  <r>
    <x v="0"/>
    <x v="0"/>
    <x v="50"/>
    <x v="0"/>
    <s v="New Jersey"/>
    <s v="Newark"/>
    <x v="5"/>
    <n v="0.4"/>
    <n v="2750"/>
    <x v="130"/>
    <n v="385"/>
    <n v="0.35"/>
  </r>
  <r>
    <x v="0"/>
    <x v="0"/>
    <x v="51"/>
    <x v="0"/>
    <s v="New Jersey"/>
    <s v="Newark"/>
    <x v="0"/>
    <n v="0.54999999999999993"/>
    <n v="5450"/>
    <x v="741"/>
    <n v="1198.9999999999998"/>
    <n v="0.4"/>
  </r>
  <r>
    <x v="0"/>
    <x v="0"/>
    <x v="51"/>
    <x v="0"/>
    <s v="New Jersey"/>
    <s v="Newark"/>
    <x v="1"/>
    <n v="0.5"/>
    <n v="2500"/>
    <x v="142"/>
    <n v="500"/>
    <n v="0.4"/>
  </r>
  <r>
    <x v="0"/>
    <x v="0"/>
    <x v="51"/>
    <x v="0"/>
    <s v="New Jersey"/>
    <s v="Newark"/>
    <x v="2"/>
    <n v="0.45"/>
    <n v="2750"/>
    <x v="116"/>
    <n v="371.25"/>
    <n v="0.3"/>
  </r>
  <r>
    <x v="0"/>
    <x v="0"/>
    <x v="51"/>
    <x v="0"/>
    <s v="New Jersey"/>
    <s v="Newark"/>
    <x v="3"/>
    <n v="0.45"/>
    <n v="2250"/>
    <x v="177"/>
    <n v="303.75"/>
    <n v="0.3"/>
  </r>
  <r>
    <x v="0"/>
    <x v="0"/>
    <x v="51"/>
    <x v="0"/>
    <s v="New Jersey"/>
    <s v="Newark"/>
    <x v="4"/>
    <n v="0.54999999999999993"/>
    <n v="2500"/>
    <x v="695"/>
    <n v="412.49999999999994"/>
    <n v="0.3"/>
  </r>
  <r>
    <x v="0"/>
    <x v="0"/>
    <x v="51"/>
    <x v="0"/>
    <s v="New Jersey"/>
    <s v="Newark"/>
    <x v="5"/>
    <n v="0.6"/>
    <n v="3750"/>
    <x v="39"/>
    <n v="787.5"/>
    <n v="0.35"/>
  </r>
  <r>
    <x v="0"/>
    <x v="0"/>
    <x v="52"/>
    <x v="0"/>
    <s v="New Jersey"/>
    <s v="Newark"/>
    <x v="0"/>
    <n v="0.54999999999999993"/>
    <n v="6250"/>
    <x v="742"/>
    <n v="1375"/>
    <n v="0.4"/>
  </r>
  <r>
    <x v="0"/>
    <x v="0"/>
    <x v="52"/>
    <x v="0"/>
    <s v="New Jersey"/>
    <s v="Newark"/>
    <x v="1"/>
    <n v="0.5"/>
    <n v="3750"/>
    <x v="203"/>
    <n v="750"/>
    <n v="0.4"/>
  </r>
  <r>
    <x v="0"/>
    <x v="0"/>
    <x v="52"/>
    <x v="0"/>
    <s v="New Jersey"/>
    <s v="Newark"/>
    <x v="2"/>
    <n v="0.45"/>
    <n v="3000"/>
    <x v="198"/>
    <n v="405"/>
    <n v="0.3"/>
  </r>
  <r>
    <x v="0"/>
    <x v="0"/>
    <x v="52"/>
    <x v="0"/>
    <s v="New Jersey"/>
    <s v="Newark"/>
    <x v="3"/>
    <n v="0.45"/>
    <n v="2750"/>
    <x v="116"/>
    <n v="371.25"/>
    <n v="0.3"/>
  </r>
  <r>
    <x v="0"/>
    <x v="0"/>
    <x v="52"/>
    <x v="0"/>
    <s v="New Jersey"/>
    <s v="Newark"/>
    <x v="4"/>
    <n v="0.54999999999999993"/>
    <n v="2750"/>
    <x v="409"/>
    <n v="453.74999999999994"/>
    <n v="0.3"/>
  </r>
  <r>
    <x v="0"/>
    <x v="0"/>
    <x v="52"/>
    <x v="0"/>
    <s v="New Jersey"/>
    <s v="Newark"/>
    <x v="5"/>
    <n v="0.6"/>
    <n v="4250"/>
    <x v="141"/>
    <n v="892.5"/>
    <n v="0.35"/>
  </r>
  <r>
    <x v="0"/>
    <x v="0"/>
    <x v="18"/>
    <x v="0"/>
    <s v="New Jersey"/>
    <s v="Newark"/>
    <x v="0"/>
    <n v="0.54999999999999993"/>
    <n v="6500"/>
    <x v="734"/>
    <n v="1430"/>
    <n v="0.4"/>
  </r>
  <r>
    <x v="0"/>
    <x v="0"/>
    <x v="18"/>
    <x v="0"/>
    <s v="New Jersey"/>
    <s v="Newark"/>
    <x v="1"/>
    <n v="0.5"/>
    <n v="4000"/>
    <x v="47"/>
    <n v="800"/>
    <n v="0.4"/>
  </r>
  <r>
    <x v="0"/>
    <x v="0"/>
    <x v="18"/>
    <x v="0"/>
    <s v="New Jersey"/>
    <s v="Newark"/>
    <x v="2"/>
    <n v="0.45"/>
    <n v="3250"/>
    <x v="334"/>
    <n v="438.75"/>
    <n v="0.3"/>
  </r>
  <r>
    <x v="0"/>
    <x v="0"/>
    <x v="18"/>
    <x v="0"/>
    <s v="New Jersey"/>
    <s v="Newark"/>
    <x v="3"/>
    <n v="0.45"/>
    <n v="2750"/>
    <x v="116"/>
    <n v="371.25"/>
    <n v="0.3"/>
  </r>
  <r>
    <x v="0"/>
    <x v="0"/>
    <x v="18"/>
    <x v="0"/>
    <s v="New Jersey"/>
    <s v="Newark"/>
    <x v="4"/>
    <n v="0.54999999999999993"/>
    <n v="3000"/>
    <x v="209"/>
    <n v="494.99999999999989"/>
    <n v="0.3"/>
  </r>
  <r>
    <x v="0"/>
    <x v="0"/>
    <x v="18"/>
    <x v="0"/>
    <s v="New Jersey"/>
    <s v="Newark"/>
    <x v="5"/>
    <n v="0.6"/>
    <n v="4750"/>
    <x v="175"/>
    <n v="997.49999999999989"/>
    <n v="0.35"/>
  </r>
  <r>
    <x v="0"/>
    <x v="0"/>
    <x v="53"/>
    <x v="0"/>
    <s v="New Jersey"/>
    <s v="Newark"/>
    <x v="0"/>
    <n v="0.54999999999999993"/>
    <n v="6250"/>
    <x v="742"/>
    <n v="1375"/>
    <n v="0.4"/>
  </r>
  <r>
    <x v="0"/>
    <x v="0"/>
    <x v="53"/>
    <x v="0"/>
    <s v="New Jersey"/>
    <s v="Newark"/>
    <x v="1"/>
    <n v="0.5"/>
    <n v="4000"/>
    <x v="47"/>
    <n v="800"/>
    <n v="0.4"/>
  </r>
  <r>
    <x v="0"/>
    <x v="0"/>
    <x v="53"/>
    <x v="0"/>
    <s v="New Jersey"/>
    <s v="Newark"/>
    <x v="2"/>
    <n v="0.45"/>
    <n v="3250"/>
    <x v="334"/>
    <n v="438.75"/>
    <n v="0.3"/>
  </r>
  <r>
    <x v="0"/>
    <x v="0"/>
    <x v="53"/>
    <x v="0"/>
    <s v="New Jersey"/>
    <s v="Newark"/>
    <x v="3"/>
    <n v="0.45"/>
    <n v="2250"/>
    <x v="177"/>
    <n v="303.75"/>
    <n v="0.3"/>
  </r>
  <r>
    <x v="0"/>
    <x v="0"/>
    <x v="53"/>
    <x v="0"/>
    <s v="New Jersey"/>
    <s v="Newark"/>
    <x v="4"/>
    <n v="0.54999999999999993"/>
    <n v="2000"/>
    <x v="405"/>
    <n v="329.99999999999994"/>
    <n v="0.3"/>
  </r>
  <r>
    <x v="0"/>
    <x v="0"/>
    <x v="53"/>
    <x v="0"/>
    <s v="New Jersey"/>
    <s v="Newark"/>
    <x v="5"/>
    <n v="0.6"/>
    <n v="3750"/>
    <x v="39"/>
    <n v="787.5"/>
    <n v="0.35"/>
  </r>
  <r>
    <x v="0"/>
    <x v="0"/>
    <x v="54"/>
    <x v="0"/>
    <s v="New Jersey"/>
    <s v="Newark"/>
    <x v="0"/>
    <n v="0.54999999999999993"/>
    <n v="5000"/>
    <x v="359"/>
    <n v="1099.9999999999998"/>
    <n v="0.4"/>
  </r>
  <r>
    <x v="0"/>
    <x v="0"/>
    <x v="54"/>
    <x v="0"/>
    <s v="New Jersey"/>
    <s v="Newark"/>
    <x v="1"/>
    <n v="0.5"/>
    <n v="3000"/>
    <x v="146"/>
    <n v="600"/>
    <n v="0.4"/>
  </r>
  <r>
    <x v="0"/>
    <x v="0"/>
    <x v="54"/>
    <x v="0"/>
    <s v="New Jersey"/>
    <s v="Newark"/>
    <x v="2"/>
    <n v="0.45"/>
    <n v="2000"/>
    <x v="124"/>
    <n v="270"/>
    <n v="0.3"/>
  </r>
  <r>
    <x v="0"/>
    <x v="0"/>
    <x v="54"/>
    <x v="0"/>
    <s v="New Jersey"/>
    <s v="Newark"/>
    <x v="3"/>
    <n v="0.45"/>
    <n v="1750"/>
    <x v="120"/>
    <n v="236.25"/>
    <n v="0.3"/>
  </r>
  <r>
    <x v="0"/>
    <x v="0"/>
    <x v="54"/>
    <x v="0"/>
    <s v="New Jersey"/>
    <s v="Newark"/>
    <x v="4"/>
    <n v="0.54999999999999993"/>
    <n v="1750"/>
    <x v="119"/>
    <n v="288.74999999999994"/>
    <n v="0.3"/>
  </r>
  <r>
    <x v="0"/>
    <x v="0"/>
    <x v="54"/>
    <x v="0"/>
    <s v="New Jersey"/>
    <s v="Newark"/>
    <x v="5"/>
    <n v="0.6"/>
    <n v="2750"/>
    <x v="240"/>
    <n v="577.5"/>
    <n v="0.35"/>
  </r>
  <r>
    <x v="0"/>
    <x v="0"/>
    <x v="55"/>
    <x v="0"/>
    <s v="New Jersey"/>
    <s v="Newark"/>
    <x v="0"/>
    <n v="0.6"/>
    <n v="4500"/>
    <x v="52"/>
    <n v="1080"/>
    <n v="0.4"/>
  </r>
  <r>
    <x v="0"/>
    <x v="0"/>
    <x v="55"/>
    <x v="0"/>
    <s v="New Jersey"/>
    <s v="Newark"/>
    <x v="1"/>
    <n v="0.55000000000000004"/>
    <n v="2750"/>
    <x v="408"/>
    <n v="605.00000000000011"/>
    <n v="0.4"/>
  </r>
  <r>
    <x v="0"/>
    <x v="0"/>
    <x v="55"/>
    <x v="0"/>
    <s v="New Jersey"/>
    <s v="Newark"/>
    <x v="2"/>
    <n v="0.55000000000000004"/>
    <n v="1750"/>
    <x v="117"/>
    <n v="288.75"/>
    <n v="0.3"/>
  </r>
  <r>
    <x v="0"/>
    <x v="0"/>
    <x v="55"/>
    <x v="0"/>
    <s v="New Jersey"/>
    <s v="Newark"/>
    <x v="3"/>
    <n v="0.55000000000000004"/>
    <n v="1500"/>
    <x v="188"/>
    <n v="247.50000000000003"/>
    <n v="0.3"/>
  </r>
  <r>
    <x v="0"/>
    <x v="0"/>
    <x v="55"/>
    <x v="0"/>
    <s v="New Jersey"/>
    <s v="Newark"/>
    <x v="4"/>
    <n v="0.65"/>
    <n v="1500"/>
    <x v="145"/>
    <n v="292.5"/>
    <n v="0.3"/>
  </r>
  <r>
    <x v="0"/>
    <x v="0"/>
    <x v="55"/>
    <x v="0"/>
    <s v="New Jersey"/>
    <s v="Newark"/>
    <x v="5"/>
    <n v="0.7"/>
    <n v="2750"/>
    <x v="237"/>
    <n v="673.74999999999989"/>
    <n v="0.35"/>
  </r>
  <r>
    <x v="0"/>
    <x v="0"/>
    <x v="56"/>
    <x v="0"/>
    <s v="New Jersey"/>
    <s v="Newark"/>
    <x v="0"/>
    <n v="0.65"/>
    <n v="4250"/>
    <x v="426"/>
    <n v="1105"/>
    <n v="0.4"/>
  </r>
  <r>
    <x v="0"/>
    <x v="0"/>
    <x v="56"/>
    <x v="0"/>
    <s v="New Jersey"/>
    <s v="Newark"/>
    <x v="1"/>
    <n v="0.55000000000000004"/>
    <n v="3000"/>
    <x v="205"/>
    <n v="660.00000000000011"/>
    <n v="0.4"/>
  </r>
  <r>
    <x v="0"/>
    <x v="0"/>
    <x v="56"/>
    <x v="0"/>
    <s v="New Jersey"/>
    <s v="Newark"/>
    <x v="2"/>
    <n v="0.55000000000000004"/>
    <n v="2950"/>
    <x v="743"/>
    <n v="486.75000000000006"/>
    <n v="0.3"/>
  </r>
  <r>
    <x v="0"/>
    <x v="0"/>
    <x v="56"/>
    <x v="0"/>
    <s v="New Jersey"/>
    <s v="Newark"/>
    <x v="3"/>
    <n v="0.55000000000000004"/>
    <n v="2750"/>
    <x v="408"/>
    <n v="453.75000000000006"/>
    <n v="0.3"/>
  </r>
  <r>
    <x v="0"/>
    <x v="0"/>
    <x v="56"/>
    <x v="0"/>
    <s v="New Jersey"/>
    <s v="Newark"/>
    <x v="4"/>
    <n v="0.65"/>
    <n v="2500"/>
    <x v="132"/>
    <n v="487.5"/>
    <n v="0.3"/>
  </r>
  <r>
    <x v="0"/>
    <x v="0"/>
    <x v="56"/>
    <x v="0"/>
    <s v="New Jersey"/>
    <s v="Newark"/>
    <x v="5"/>
    <n v="0.7"/>
    <n v="3500"/>
    <x v="41"/>
    <n v="857.5"/>
    <n v="0.35"/>
  </r>
  <r>
    <x v="0"/>
    <x v="0"/>
    <x v="57"/>
    <x v="0"/>
    <s v="New Jersey"/>
    <s v="Newark"/>
    <x v="0"/>
    <n v="0.65"/>
    <n v="5750"/>
    <x v="90"/>
    <n v="1495"/>
    <n v="0.4"/>
  </r>
  <r>
    <x v="0"/>
    <x v="0"/>
    <x v="57"/>
    <x v="0"/>
    <s v="New Jersey"/>
    <s v="Newark"/>
    <x v="1"/>
    <n v="0.55000000000000004"/>
    <n v="3750"/>
    <x v="138"/>
    <n v="825"/>
    <n v="0.4"/>
  </r>
  <r>
    <x v="0"/>
    <x v="0"/>
    <x v="57"/>
    <x v="0"/>
    <s v="New Jersey"/>
    <s v="Newark"/>
    <x v="2"/>
    <n v="0.55000000000000004"/>
    <n v="3500"/>
    <x v="136"/>
    <n v="577.5"/>
    <n v="0.3"/>
  </r>
  <r>
    <x v="0"/>
    <x v="0"/>
    <x v="57"/>
    <x v="0"/>
    <s v="New Jersey"/>
    <s v="Newark"/>
    <x v="3"/>
    <n v="0.55000000000000004"/>
    <n v="3000"/>
    <x v="205"/>
    <n v="495.00000000000006"/>
    <n v="0.3"/>
  </r>
  <r>
    <x v="0"/>
    <x v="0"/>
    <x v="57"/>
    <x v="0"/>
    <s v="New Jersey"/>
    <s v="Newark"/>
    <x v="4"/>
    <n v="0.65"/>
    <n v="3000"/>
    <x v="212"/>
    <n v="585"/>
    <n v="0.3"/>
  </r>
  <r>
    <x v="0"/>
    <x v="0"/>
    <x v="57"/>
    <x v="0"/>
    <s v="New Jersey"/>
    <s v="Newark"/>
    <x v="5"/>
    <n v="0.7"/>
    <n v="4000"/>
    <x v="59"/>
    <n v="979.99999999999989"/>
    <n v="0.35"/>
  </r>
  <r>
    <x v="0"/>
    <x v="0"/>
    <x v="136"/>
    <x v="0"/>
    <s v="Connecticut"/>
    <s v="Hartford"/>
    <x v="0"/>
    <n v="0.35000000000000003"/>
    <n v="4250"/>
    <x v="343"/>
    <n v="520.625"/>
    <n v="0.35"/>
  </r>
  <r>
    <x v="0"/>
    <x v="0"/>
    <x v="136"/>
    <x v="0"/>
    <s v="Connecticut"/>
    <s v="Hartford"/>
    <x v="1"/>
    <n v="0.35000000000000003"/>
    <n v="2250"/>
    <x v="121"/>
    <n v="275.625"/>
    <n v="0.35"/>
  </r>
  <r>
    <x v="0"/>
    <x v="0"/>
    <x v="136"/>
    <x v="0"/>
    <s v="Connecticut"/>
    <s v="Hartford"/>
    <x v="2"/>
    <n v="0.25000000000000006"/>
    <n v="2250"/>
    <x v="469"/>
    <n v="225.00000000000006"/>
    <n v="0.4"/>
  </r>
  <r>
    <x v="0"/>
    <x v="0"/>
    <x v="136"/>
    <x v="0"/>
    <s v="Connecticut"/>
    <s v="Hartford"/>
    <x v="3"/>
    <n v="0.3"/>
    <n v="750"/>
    <x v="375"/>
    <n v="90"/>
    <n v="0.4"/>
  </r>
  <r>
    <x v="0"/>
    <x v="0"/>
    <x v="136"/>
    <x v="0"/>
    <s v="Connecticut"/>
    <s v="Hartford"/>
    <x v="4"/>
    <n v="0.45"/>
    <n v="1250"/>
    <x v="180"/>
    <n v="168.75"/>
    <n v="0.3"/>
  </r>
  <r>
    <x v="0"/>
    <x v="0"/>
    <x v="136"/>
    <x v="0"/>
    <s v="Connecticut"/>
    <s v="Hartford"/>
    <x v="5"/>
    <n v="0.35000000000000003"/>
    <n v="2250"/>
    <x v="121"/>
    <n v="315.00000000000006"/>
    <n v="0.4"/>
  </r>
  <r>
    <x v="0"/>
    <x v="0"/>
    <x v="264"/>
    <x v="0"/>
    <s v="Connecticut"/>
    <s v="Hartford"/>
    <x v="0"/>
    <n v="0.35000000000000003"/>
    <n v="4750"/>
    <x v="394"/>
    <n v="581.875"/>
    <n v="0.35"/>
  </r>
  <r>
    <x v="0"/>
    <x v="0"/>
    <x v="264"/>
    <x v="0"/>
    <s v="Connecticut"/>
    <s v="Hartford"/>
    <x v="1"/>
    <n v="0.35000000000000003"/>
    <n v="1250"/>
    <x v="620"/>
    <n v="153.125"/>
    <n v="0.35"/>
  </r>
  <r>
    <x v="0"/>
    <x v="0"/>
    <x v="264"/>
    <x v="0"/>
    <s v="Connecticut"/>
    <s v="Hartford"/>
    <x v="2"/>
    <n v="0.25000000000000006"/>
    <n v="1750"/>
    <x v="706"/>
    <n v="175.00000000000006"/>
    <n v="0.4"/>
  </r>
  <r>
    <x v="0"/>
    <x v="0"/>
    <x v="264"/>
    <x v="0"/>
    <s v="Connecticut"/>
    <s v="Hartford"/>
    <x v="3"/>
    <n v="0.3"/>
    <n v="500"/>
    <x v="374"/>
    <n v="60"/>
    <n v="0.4"/>
  </r>
  <r>
    <x v="0"/>
    <x v="0"/>
    <x v="264"/>
    <x v="0"/>
    <s v="Connecticut"/>
    <s v="Hartford"/>
    <x v="4"/>
    <n v="0.45"/>
    <n v="1250"/>
    <x v="180"/>
    <n v="168.75"/>
    <n v="0.3"/>
  </r>
  <r>
    <x v="0"/>
    <x v="0"/>
    <x v="264"/>
    <x v="0"/>
    <s v="Connecticut"/>
    <s v="Hartford"/>
    <x v="5"/>
    <n v="0.35000000000000003"/>
    <n v="2250"/>
    <x v="121"/>
    <n v="315.00000000000006"/>
    <n v="0.4"/>
  </r>
  <r>
    <x v="0"/>
    <x v="0"/>
    <x v="173"/>
    <x v="0"/>
    <s v="Connecticut"/>
    <s v="Hartford"/>
    <x v="0"/>
    <n v="0.35000000000000003"/>
    <n v="4450"/>
    <x v="727"/>
    <n v="545.125"/>
    <n v="0.35"/>
  </r>
  <r>
    <x v="0"/>
    <x v="0"/>
    <x v="173"/>
    <x v="0"/>
    <s v="Connecticut"/>
    <s v="Hartford"/>
    <x v="1"/>
    <n v="0.35000000000000003"/>
    <n v="1500"/>
    <x v="311"/>
    <n v="183.75"/>
    <n v="0.35"/>
  </r>
  <r>
    <x v="0"/>
    <x v="0"/>
    <x v="173"/>
    <x v="0"/>
    <s v="Connecticut"/>
    <s v="Hartford"/>
    <x v="2"/>
    <n v="0.25000000000000006"/>
    <n v="1750"/>
    <x v="706"/>
    <n v="175.00000000000006"/>
    <n v="0.4"/>
  </r>
  <r>
    <x v="0"/>
    <x v="0"/>
    <x v="173"/>
    <x v="0"/>
    <s v="Connecticut"/>
    <s v="Hartford"/>
    <x v="3"/>
    <n v="0.3"/>
    <n v="250"/>
    <x v="376"/>
    <n v="30"/>
    <n v="0.4"/>
  </r>
  <r>
    <x v="0"/>
    <x v="0"/>
    <x v="173"/>
    <x v="0"/>
    <s v="Connecticut"/>
    <s v="Hartford"/>
    <x v="4"/>
    <n v="0.45"/>
    <n v="750"/>
    <x v="125"/>
    <n v="101.25"/>
    <n v="0.3"/>
  </r>
  <r>
    <x v="0"/>
    <x v="0"/>
    <x v="173"/>
    <x v="0"/>
    <s v="Connecticut"/>
    <s v="Hartford"/>
    <x v="5"/>
    <n v="0.35000000000000003"/>
    <n v="1750"/>
    <x v="181"/>
    <n v="245.00000000000006"/>
    <n v="0.4"/>
  </r>
  <r>
    <x v="0"/>
    <x v="0"/>
    <x v="265"/>
    <x v="0"/>
    <s v="Connecticut"/>
    <s v="Hartford"/>
    <x v="0"/>
    <n v="0.35000000000000003"/>
    <n v="4250"/>
    <x v="343"/>
    <n v="520.625"/>
    <n v="0.35"/>
  </r>
  <r>
    <x v="0"/>
    <x v="0"/>
    <x v="265"/>
    <x v="0"/>
    <s v="Connecticut"/>
    <s v="Hartford"/>
    <x v="1"/>
    <n v="0.35000000000000003"/>
    <n v="1250"/>
    <x v="620"/>
    <n v="153.125"/>
    <n v="0.35"/>
  </r>
  <r>
    <x v="0"/>
    <x v="0"/>
    <x v="265"/>
    <x v="0"/>
    <s v="Connecticut"/>
    <s v="Hartford"/>
    <x v="2"/>
    <n v="0.25000000000000006"/>
    <n v="1250"/>
    <x v="713"/>
    <n v="125.00000000000003"/>
    <n v="0.4"/>
  </r>
  <r>
    <x v="0"/>
    <x v="0"/>
    <x v="265"/>
    <x v="0"/>
    <s v="Connecticut"/>
    <s v="Hartford"/>
    <x v="3"/>
    <n v="0.3"/>
    <n v="500"/>
    <x v="374"/>
    <n v="60"/>
    <n v="0.4"/>
  </r>
  <r>
    <x v="0"/>
    <x v="0"/>
    <x v="265"/>
    <x v="0"/>
    <s v="Connecticut"/>
    <s v="Hartford"/>
    <x v="4"/>
    <n v="0.45"/>
    <n v="500"/>
    <x v="375"/>
    <n v="67.5"/>
    <n v="0.3"/>
  </r>
  <r>
    <x v="0"/>
    <x v="0"/>
    <x v="265"/>
    <x v="0"/>
    <s v="Connecticut"/>
    <s v="Hartford"/>
    <x v="5"/>
    <n v="0.35000000000000003"/>
    <n v="2000"/>
    <x v="320"/>
    <n v="280.00000000000006"/>
    <n v="0.4"/>
  </r>
  <r>
    <x v="0"/>
    <x v="0"/>
    <x v="61"/>
    <x v="0"/>
    <s v="Connecticut"/>
    <s v="Hartford"/>
    <x v="0"/>
    <n v="0.49999999999999994"/>
    <n v="4700"/>
    <x v="728"/>
    <n v="822.49999999999977"/>
    <n v="0.35"/>
  </r>
  <r>
    <x v="0"/>
    <x v="0"/>
    <x v="61"/>
    <x v="0"/>
    <s v="Connecticut"/>
    <s v="Hartford"/>
    <x v="1"/>
    <n v="0.45"/>
    <n v="1750"/>
    <x v="120"/>
    <n v="275.625"/>
    <n v="0.35"/>
  </r>
  <r>
    <x v="0"/>
    <x v="0"/>
    <x v="61"/>
    <x v="0"/>
    <s v="Connecticut"/>
    <s v="Hartford"/>
    <x v="2"/>
    <n v="0.4"/>
    <n v="2000"/>
    <x v="134"/>
    <n v="320"/>
    <n v="0.4"/>
  </r>
  <r>
    <x v="0"/>
    <x v="0"/>
    <x v="61"/>
    <x v="0"/>
    <s v="Connecticut"/>
    <s v="Hartford"/>
    <x v="3"/>
    <n v="0.4"/>
    <n v="1500"/>
    <x v="128"/>
    <n v="240"/>
    <n v="0.4"/>
  </r>
  <r>
    <x v="0"/>
    <x v="0"/>
    <x v="61"/>
    <x v="0"/>
    <s v="Connecticut"/>
    <s v="Hartford"/>
    <x v="4"/>
    <n v="0.49999999999999994"/>
    <n v="1750"/>
    <x v="688"/>
    <n v="262.49999999999994"/>
    <n v="0.3"/>
  </r>
  <r>
    <x v="0"/>
    <x v="0"/>
    <x v="61"/>
    <x v="0"/>
    <s v="Connecticut"/>
    <s v="Hartford"/>
    <x v="5"/>
    <n v="0.54999999999999993"/>
    <n v="3000"/>
    <x v="209"/>
    <n v="660"/>
    <n v="0.4"/>
  </r>
  <r>
    <x v="0"/>
    <x v="0"/>
    <x v="266"/>
    <x v="0"/>
    <s v="Connecticut"/>
    <s v="Hartford"/>
    <x v="0"/>
    <n v="0.49999999999999994"/>
    <n v="5500"/>
    <x v="359"/>
    <n v="962.49999999999977"/>
    <n v="0.35"/>
  </r>
  <r>
    <x v="0"/>
    <x v="0"/>
    <x v="266"/>
    <x v="0"/>
    <s v="Connecticut"/>
    <s v="Hartford"/>
    <x v="1"/>
    <n v="0.45"/>
    <n v="3000"/>
    <x v="198"/>
    <n v="472.49999999999994"/>
    <n v="0.35"/>
  </r>
  <r>
    <x v="0"/>
    <x v="0"/>
    <x v="266"/>
    <x v="0"/>
    <s v="Connecticut"/>
    <s v="Hartford"/>
    <x v="2"/>
    <n v="0.4"/>
    <n v="2250"/>
    <x v="124"/>
    <n v="360"/>
    <n v="0.4"/>
  </r>
  <r>
    <x v="0"/>
    <x v="0"/>
    <x v="266"/>
    <x v="0"/>
    <s v="Connecticut"/>
    <s v="Hartford"/>
    <x v="3"/>
    <n v="0.4"/>
    <n v="2000"/>
    <x v="134"/>
    <n v="320"/>
    <n v="0.4"/>
  </r>
  <r>
    <x v="0"/>
    <x v="0"/>
    <x v="266"/>
    <x v="0"/>
    <s v="Connecticut"/>
    <s v="Hartford"/>
    <x v="4"/>
    <n v="0.49999999999999994"/>
    <n v="2000"/>
    <x v="619"/>
    <n v="299.99999999999994"/>
    <n v="0.3"/>
  </r>
  <r>
    <x v="0"/>
    <x v="0"/>
    <x v="266"/>
    <x v="0"/>
    <s v="Connecticut"/>
    <s v="Hartford"/>
    <x v="5"/>
    <n v="0.54999999999999993"/>
    <n v="3500"/>
    <x v="237"/>
    <n v="770"/>
    <n v="0.4"/>
  </r>
  <r>
    <x v="0"/>
    <x v="0"/>
    <x v="176"/>
    <x v="0"/>
    <s v="Connecticut"/>
    <s v="Hartford"/>
    <x v="0"/>
    <n v="0.49999999999999994"/>
    <n v="5750"/>
    <x v="744"/>
    <n v="1006.2499999999998"/>
    <n v="0.35"/>
  </r>
  <r>
    <x v="0"/>
    <x v="0"/>
    <x v="176"/>
    <x v="0"/>
    <s v="Connecticut"/>
    <s v="Hartford"/>
    <x v="1"/>
    <n v="0.45"/>
    <n v="3250"/>
    <x v="334"/>
    <n v="511.87499999999994"/>
    <n v="0.35"/>
  </r>
  <r>
    <x v="0"/>
    <x v="0"/>
    <x v="176"/>
    <x v="0"/>
    <s v="Connecticut"/>
    <s v="Hartford"/>
    <x v="2"/>
    <n v="0.4"/>
    <n v="2500"/>
    <x v="123"/>
    <n v="400"/>
    <n v="0.4"/>
  </r>
  <r>
    <x v="0"/>
    <x v="0"/>
    <x v="176"/>
    <x v="0"/>
    <s v="Connecticut"/>
    <s v="Hartford"/>
    <x v="3"/>
    <n v="0.4"/>
    <n v="2000"/>
    <x v="134"/>
    <n v="320"/>
    <n v="0.4"/>
  </r>
  <r>
    <x v="0"/>
    <x v="0"/>
    <x v="176"/>
    <x v="0"/>
    <s v="Connecticut"/>
    <s v="Hartford"/>
    <x v="4"/>
    <n v="0.49999999999999994"/>
    <n v="2250"/>
    <x v="486"/>
    <n v="337.49999999999994"/>
    <n v="0.3"/>
  </r>
  <r>
    <x v="0"/>
    <x v="0"/>
    <x v="176"/>
    <x v="0"/>
    <s v="Connecticut"/>
    <s v="Hartford"/>
    <x v="5"/>
    <n v="0.54999999999999993"/>
    <n v="4000"/>
    <x v="208"/>
    <n v="879.99999999999989"/>
    <n v="0.4"/>
  </r>
  <r>
    <x v="0"/>
    <x v="0"/>
    <x v="117"/>
    <x v="0"/>
    <s v="Connecticut"/>
    <s v="Hartford"/>
    <x v="0"/>
    <n v="0.49999999999999994"/>
    <n v="5500"/>
    <x v="359"/>
    <n v="962.49999999999977"/>
    <n v="0.35"/>
  </r>
  <r>
    <x v="0"/>
    <x v="0"/>
    <x v="117"/>
    <x v="0"/>
    <s v="Connecticut"/>
    <s v="Hartford"/>
    <x v="1"/>
    <n v="0.45"/>
    <n v="3250"/>
    <x v="334"/>
    <n v="511.87499999999994"/>
    <n v="0.35"/>
  </r>
  <r>
    <x v="0"/>
    <x v="0"/>
    <x v="117"/>
    <x v="0"/>
    <s v="Connecticut"/>
    <s v="Hartford"/>
    <x v="2"/>
    <n v="0.4"/>
    <n v="2500"/>
    <x v="123"/>
    <n v="400"/>
    <n v="0.4"/>
  </r>
  <r>
    <x v="0"/>
    <x v="0"/>
    <x v="117"/>
    <x v="0"/>
    <s v="Connecticut"/>
    <s v="Hartford"/>
    <x v="3"/>
    <n v="0.4"/>
    <n v="1500"/>
    <x v="128"/>
    <n v="240"/>
    <n v="0.4"/>
  </r>
  <r>
    <x v="0"/>
    <x v="0"/>
    <x v="117"/>
    <x v="0"/>
    <s v="Connecticut"/>
    <s v="Hartford"/>
    <x v="4"/>
    <n v="0.49999999999999994"/>
    <n v="1250"/>
    <x v="694"/>
    <n v="187.49999999999997"/>
    <n v="0.3"/>
  </r>
  <r>
    <x v="0"/>
    <x v="0"/>
    <x v="117"/>
    <x v="0"/>
    <s v="Connecticut"/>
    <s v="Hartford"/>
    <x v="5"/>
    <n v="0.54999999999999993"/>
    <n v="3000"/>
    <x v="209"/>
    <n v="660"/>
    <n v="0.4"/>
  </r>
  <r>
    <x v="0"/>
    <x v="0"/>
    <x v="63"/>
    <x v="0"/>
    <s v="Connecticut"/>
    <s v="Hartford"/>
    <x v="0"/>
    <n v="0.49999999999999994"/>
    <n v="4250"/>
    <x v="397"/>
    <n v="743.74999999999977"/>
    <n v="0.35"/>
  </r>
  <r>
    <x v="0"/>
    <x v="0"/>
    <x v="63"/>
    <x v="0"/>
    <s v="Connecticut"/>
    <s v="Hartford"/>
    <x v="1"/>
    <n v="0.45"/>
    <n v="2250"/>
    <x v="177"/>
    <n v="354.375"/>
    <n v="0.35"/>
  </r>
  <r>
    <x v="0"/>
    <x v="0"/>
    <x v="63"/>
    <x v="0"/>
    <s v="Connecticut"/>
    <s v="Hartford"/>
    <x v="2"/>
    <n v="0.4"/>
    <n v="1250"/>
    <x v="118"/>
    <n v="200"/>
    <n v="0.4"/>
  </r>
  <r>
    <x v="0"/>
    <x v="0"/>
    <x v="63"/>
    <x v="0"/>
    <s v="Connecticut"/>
    <s v="Hartford"/>
    <x v="3"/>
    <n v="0.4"/>
    <n v="1000"/>
    <x v="122"/>
    <n v="160"/>
    <n v="0.4"/>
  </r>
  <r>
    <x v="0"/>
    <x v="0"/>
    <x v="63"/>
    <x v="0"/>
    <s v="Connecticut"/>
    <s v="Hartford"/>
    <x v="4"/>
    <n v="0.49999999999999994"/>
    <n v="1000"/>
    <x v="379"/>
    <n v="149.99999999999997"/>
    <n v="0.3"/>
  </r>
  <r>
    <x v="0"/>
    <x v="0"/>
    <x v="63"/>
    <x v="0"/>
    <s v="Connecticut"/>
    <s v="Hartford"/>
    <x v="5"/>
    <n v="0.54999999999999993"/>
    <n v="2000"/>
    <x v="405"/>
    <n v="439.99999999999994"/>
    <n v="0.4"/>
  </r>
  <r>
    <x v="0"/>
    <x v="0"/>
    <x v="267"/>
    <x v="0"/>
    <s v="Connecticut"/>
    <s v="Hartford"/>
    <x v="0"/>
    <n v="0.54999999999999993"/>
    <n v="3750"/>
    <x v="210"/>
    <n v="721.87499999999977"/>
    <n v="0.35"/>
  </r>
  <r>
    <x v="0"/>
    <x v="0"/>
    <x v="267"/>
    <x v="0"/>
    <s v="Connecticut"/>
    <s v="Hartford"/>
    <x v="1"/>
    <n v="0.5"/>
    <n v="2000"/>
    <x v="123"/>
    <n v="350"/>
    <n v="0.35"/>
  </r>
  <r>
    <x v="0"/>
    <x v="0"/>
    <x v="267"/>
    <x v="0"/>
    <s v="Connecticut"/>
    <s v="Hartford"/>
    <x v="2"/>
    <n v="0.5"/>
    <n v="1000"/>
    <x v="118"/>
    <n v="200"/>
    <n v="0.4"/>
  </r>
  <r>
    <x v="0"/>
    <x v="0"/>
    <x v="267"/>
    <x v="0"/>
    <s v="Connecticut"/>
    <s v="Hartford"/>
    <x v="3"/>
    <n v="0.5"/>
    <n v="750"/>
    <x v="316"/>
    <n v="150"/>
    <n v="0.4"/>
  </r>
  <r>
    <x v="0"/>
    <x v="0"/>
    <x v="267"/>
    <x v="0"/>
    <s v="Connecticut"/>
    <s v="Hartford"/>
    <x v="4"/>
    <n v="0.6"/>
    <n v="750"/>
    <x v="185"/>
    <n v="135"/>
    <n v="0.3"/>
  </r>
  <r>
    <x v="0"/>
    <x v="0"/>
    <x v="267"/>
    <x v="0"/>
    <s v="Connecticut"/>
    <s v="Hartford"/>
    <x v="5"/>
    <n v="0.64999999999999991"/>
    <n v="2000"/>
    <x v="730"/>
    <n v="519.99999999999989"/>
    <n v="0.4"/>
  </r>
  <r>
    <x v="0"/>
    <x v="0"/>
    <x v="268"/>
    <x v="0"/>
    <s v="Connecticut"/>
    <s v="Hartford"/>
    <x v="0"/>
    <n v="0.6"/>
    <n v="3500"/>
    <x v="193"/>
    <n v="735"/>
    <n v="0.35"/>
  </r>
  <r>
    <x v="0"/>
    <x v="0"/>
    <x v="268"/>
    <x v="0"/>
    <s v="Connecticut"/>
    <s v="Hartford"/>
    <x v="1"/>
    <n v="0.5"/>
    <n v="2250"/>
    <x v="127"/>
    <n v="393.75"/>
    <n v="0.35"/>
  </r>
  <r>
    <x v="0"/>
    <x v="0"/>
    <x v="268"/>
    <x v="0"/>
    <s v="Connecticut"/>
    <s v="Hartford"/>
    <x v="2"/>
    <n v="0.5"/>
    <n v="2200"/>
    <x v="130"/>
    <n v="440"/>
    <n v="0.4"/>
  </r>
  <r>
    <x v="0"/>
    <x v="0"/>
    <x v="268"/>
    <x v="0"/>
    <s v="Connecticut"/>
    <s v="Hartford"/>
    <x v="3"/>
    <n v="0.5"/>
    <n v="2000"/>
    <x v="123"/>
    <n v="400"/>
    <n v="0.4"/>
  </r>
  <r>
    <x v="0"/>
    <x v="0"/>
    <x v="268"/>
    <x v="0"/>
    <s v="Connecticut"/>
    <s v="Hartford"/>
    <x v="4"/>
    <n v="0.6"/>
    <n v="1750"/>
    <x v="202"/>
    <n v="315"/>
    <n v="0.3"/>
  </r>
  <r>
    <x v="0"/>
    <x v="0"/>
    <x v="268"/>
    <x v="0"/>
    <s v="Connecticut"/>
    <s v="Hartford"/>
    <x v="5"/>
    <n v="0.64999999999999991"/>
    <n v="2750"/>
    <x v="410"/>
    <n v="715"/>
    <n v="0.4"/>
  </r>
  <r>
    <x v="0"/>
    <x v="0"/>
    <x v="269"/>
    <x v="0"/>
    <s v="Connecticut"/>
    <s v="Hartford"/>
    <x v="0"/>
    <n v="0.6"/>
    <n v="5000"/>
    <x v="61"/>
    <n v="1050"/>
    <n v="0.35"/>
  </r>
  <r>
    <x v="0"/>
    <x v="0"/>
    <x v="269"/>
    <x v="0"/>
    <s v="Connecticut"/>
    <s v="Hartford"/>
    <x v="1"/>
    <n v="0.5"/>
    <n v="3000"/>
    <x v="146"/>
    <n v="525"/>
    <n v="0.35"/>
  </r>
  <r>
    <x v="0"/>
    <x v="0"/>
    <x v="269"/>
    <x v="0"/>
    <s v="Connecticut"/>
    <s v="Hartford"/>
    <x v="2"/>
    <n v="0.5"/>
    <n v="2750"/>
    <x v="140"/>
    <n v="550"/>
    <n v="0.4"/>
  </r>
  <r>
    <x v="0"/>
    <x v="0"/>
    <x v="269"/>
    <x v="0"/>
    <s v="Connecticut"/>
    <s v="Hartford"/>
    <x v="3"/>
    <n v="0.5"/>
    <n v="2250"/>
    <x v="127"/>
    <n v="450"/>
    <n v="0.4"/>
  </r>
  <r>
    <x v="0"/>
    <x v="0"/>
    <x v="269"/>
    <x v="0"/>
    <s v="Connecticut"/>
    <s v="Hartford"/>
    <x v="4"/>
    <n v="0.6"/>
    <n v="2250"/>
    <x v="198"/>
    <n v="405"/>
    <n v="0.3"/>
  </r>
  <r>
    <x v="0"/>
    <x v="0"/>
    <x v="269"/>
    <x v="0"/>
    <s v="Connecticut"/>
    <s v="Hartford"/>
    <x v="5"/>
    <n v="0.64999999999999991"/>
    <n v="3250"/>
    <x v="262"/>
    <n v="844.99999999999989"/>
    <n v="0.4"/>
  </r>
  <r>
    <x v="0"/>
    <x v="0"/>
    <x v="102"/>
    <x v="0"/>
    <s v="Rhode Island"/>
    <s v="Providence"/>
    <x v="0"/>
    <n v="0.4"/>
    <n v="4500"/>
    <x v="207"/>
    <n v="540"/>
    <n v="0.3"/>
  </r>
  <r>
    <x v="0"/>
    <x v="0"/>
    <x v="102"/>
    <x v="0"/>
    <s v="Rhode Island"/>
    <s v="Providence"/>
    <x v="1"/>
    <n v="0.4"/>
    <n v="2500"/>
    <x v="123"/>
    <n v="300"/>
    <n v="0.3"/>
  </r>
  <r>
    <x v="0"/>
    <x v="0"/>
    <x v="102"/>
    <x v="0"/>
    <s v="Rhode Island"/>
    <s v="Providence"/>
    <x v="2"/>
    <n v="0.30000000000000004"/>
    <n v="2500"/>
    <x v="398"/>
    <n v="187.50000000000003"/>
    <n v="0.25"/>
  </r>
  <r>
    <x v="0"/>
    <x v="0"/>
    <x v="102"/>
    <x v="0"/>
    <s v="Rhode Island"/>
    <s v="Providence"/>
    <x v="3"/>
    <n v="0.35"/>
    <n v="1000"/>
    <x v="326"/>
    <n v="87.5"/>
    <n v="0.25"/>
  </r>
  <r>
    <x v="0"/>
    <x v="0"/>
    <x v="102"/>
    <x v="0"/>
    <s v="Rhode Island"/>
    <s v="Providence"/>
    <x v="4"/>
    <n v="0.5"/>
    <n v="1500"/>
    <x v="126"/>
    <n v="187.5"/>
    <n v="0.25"/>
  </r>
  <r>
    <x v="0"/>
    <x v="0"/>
    <x v="102"/>
    <x v="0"/>
    <s v="Rhode Island"/>
    <s v="Providence"/>
    <x v="5"/>
    <n v="0.4"/>
    <n v="2500"/>
    <x v="123"/>
    <n v="300"/>
    <n v="0.3"/>
  </r>
  <r>
    <x v="0"/>
    <x v="0"/>
    <x v="37"/>
    <x v="0"/>
    <s v="Rhode Island"/>
    <s v="Providence"/>
    <x v="0"/>
    <n v="0.4"/>
    <n v="5000"/>
    <x v="47"/>
    <n v="600"/>
    <n v="0.3"/>
  </r>
  <r>
    <x v="0"/>
    <x v="0"/>
    <x v="37"/>
    <x v="0"/>
    <s v="Rhode Island"/>
    <s v="Providence"/>
    <x v="1"/>
    <n v="0.4"/>
    <n v="1500"/>
    <x v="128"/>
    <n v="180"/>
    <n v="0.3"/>
  </r>
  <r>
    <x v="0"/>
    <x v="0"/>
    <x v="37"/>
    <x v="0"/>
    <s v="Rhode Island"/>
    <s v="Providence"/>
    <x v="2"/>
    <n v="0.30000000000000004"/>
    <n v="2000"/>
    <x v="399"/>
    <n v="150.00000000000003"/>
    <n v="0.25"/>
  </r>
  <r>
    <x v="0"/>
    <x v="0"/>
    <x v="37"/>
    <x v="0"/>
    <s v="Rhode Island"/>
    <s v="Providence"/>
    <x v="3"/>
    <n v="0.35"/>
    <n v="2500"/>
    <x v="131"/>
    <n v="218.75"/>
    <n v="0.25"/>
  </r>
  <r>
    <x v="0"/>
    <x v="0"/>
    <x v="37"/>
    <x v="0"/>
    <s v="Rhode Island"/>
    <s v="Providence"/>
    <x v="4"/>
    <n v="0.5"/>
    <n v="1500"/>
    <x v="126"/>
    <n v="187.5"/>
    <n v="0.25"/>
  </r>
  <r>
    <x v="0"/>
    <x v="0"/>
    <x v="37"/>
    <x v="0"/>
    <s v="Rhode Island"/>
    <s v="Providence"/>
    <x v="5"/>
    <n v="0.4"/>
    <n v="2500"/>
    <x v="123"/>
    <n v="300"/>
    <n v="0.3"/>
  </r>
  <r>
    <x v="0"/>
    <x v="0"/>
    <x v="258"/>
    <x v="0"/>
    <s v="Rhode Island"/>
    <s v="Providence"/>
    <x v="0"/>
    <n v="0.4"/>
    <n v="4700"/>
    <x v="400"/>
    <n v="564"/>
    <n v="0.3"/>
  </r>
  <r>
    <x v="0"/>
    <x v="0"/>
    <x v="258"/>
    <x v="0"/>
    <s v="Rhode Island"/>
    <s v="Providence"/>
    <x v="1"/>
    <n v="0.4"/>
    <n v="1750"/>
    <x v="135"/>
    <n v="210"/>
    <n v="0.3"/>
  </r>
  <r>
    <x v="0"/>
    <x v="0"/>
    <x v="258"/>
    <x v="0"/>
    <s v="Rhode Island"/>
    <s v="Providence"/>
    <x v="2"/>
    <n v="0.30000000000000004"/>
    <n v="2000"/>
    <x v="399"/>
    <n v="150.00000000000003"/>
    <n v="0.25"/>
  </r>
  <r>
    <x v="0"/>
    <x v="0"/>
    <x v="258"/>
    <x v="0"/>
    <s v="Rhode Island"/>
    <s v="Providence"/>
    <x v="3"/>
    <n v="0.35"/>
    <n v="3000"/>
    <x v="202"/>
    <n v="262.5"/>
    <n v="0.25"/>
  </r>
  <r>
    <x v="0"/>
    <x v="0"/>
    <x v="258"/>
    <x v="0"/>
    <s v="Rhode Island"/>
    <s v="Providence"/>
    <x v="4"/>
    <n v="0.5"/>
    <n v="1000"/>
    <x v="118"/>
    <n v="125"/>
    <n v="0.25"/>
  </r>
  <r>
    <x v="0"/>
    <x v="0"/>
    <x v="258"/>
    <x v="0"/>
    <s v="Rhode Island"/>
    <s v="Providence"/>
    <x v="5"/>
    <n v="0.4"/>
    <n v="2000"/>
    <x v="134"/>
    <n v="240"/>
    <n v="0.3"/>
  </r>
  <r>
    <x v="0"/>
    <x v="0"/>
    <x v="259"/>
    <x v="0"/>
    <s v="Rhode Island"/>
    <s v="Providence"/>
    <x v="0"/>
    <n v="0.4"/>
    <n v="4500"/>
    <x v="207"/>
    <n v="540"/>
    <n v="0.3"/>
  </r>
  <r>
    <x v="0"/>
    <x v="0"/>
    <x v="259"/>
    <x v="0"/>
    <s v="Rhode Island"/>
    <s v="Providence"/>
    <x v="1"/>
    <n v="0.4"/>
    <n v="1500"/>
    <x v="128"/>
    <n v="180"/>
    <n v="0.3"/>
  </r>
  <r>
    <x v="0"/>
    <x v="0"/>
    <x v="259"/>
    <x v="0"/>
    <s v="Rhode Island"/>
    <s v="Providence"/>
    <x v="2"/>
    <n v="0.30000000000000004"/>
    <n v="1500"/>
    <x v="362"/>
    <n v="112.50000000000001"/>
    <n v="0.25"/>
  </r>
  <r>
    <x v="0"/>
    <x v="0"/>
    <x v="259"/>
    <x v="0"/>
    <s v="Rhode Island"/>
    <s v="Providence"/>
    <x v="3"/>
    <n v="0.35"/>
    <n v="1250"/>
    <x v="324"/>
    <n v="109.375"/>
    <n v="0.25"/>
  </r>
  <r>
    <x v="0"/>
    <x v="0"/>
    <x v="259"/>
    <x v="0"/>
    <s v="Rhode Island"/>
    <s v="Providence"/>
    <x v="4"/>
    <n v="0.5"/>
    <n v="1250"/>
    <x v="143"/>
    <n v="156.25"/>
    <n v="0.25"/>
  </r>
  <r>
    <x v="0"/>
    <x v="0"/>
    <x v="259"/>
    <x v="0"/>
    <s v="Rhode Island"/>
    <s v="Providence"/>
    <x v="5"/>
    <n v="0.4"/>
    <n v="2750"/>
    <x v="130"/>
    <n v="330"/>
    <n v="0.3"/>
  </r>
  <r>
    <x v="0"/>
    <x v="0"/>
    <x v="236"/>
    <x v="0"/>
    <s v="Rhode Island"/>
    <s v="Providence"/>
    <x v="0"/>
    <n v="0.54999999999999993"/>
    <n v="4950"/>
    <x v="402"/>
    <n v="816.74999999999989"/>
    <n v="0.3"/>
  </r>
  <r>
    <x v="0"/>
    <x v="0"/>
    <x v="236"/>
    <x v="0"/>
    <s v="Rhode Island"/>
    <s v="Providence"/>
    <x v="1"/>
    <n v="0.5"/>
    <n v="2000"/>
    <x v="123"/>
    <n v="300"/>
    <n v="0.3"/>
  </r>
  <r>
    <x v="0"/>
    <x v="0"/>
    <x v="236"/>
    <x v="0"/>
    <s v="Rhode Island"/>
    <s v="Providence"/>
    <x v="2"/>
    <n v="0.45"/>
    <n v="2250"/>
    <x v="177"/>
    <n v="253.125"/>
    <n v="0.25"/>
  </r>
  <r>
    <x v="0"/>
    <x v="0"/>
    <x v="236"/>
    <x v="0"/>
    <s v="Rhode Island"/>
    <s v="Providence"/>
    <x v="3"/>
    <n v="0.45"/>
    <n v="1750"/>
    <x v="120"/>
    <n v="196.875"/>
    <n v="0.25"/>
  </r>
  <r>
    <x v="0"/>
    <x v="0"/>
    <x v="236"/>
    <x v="0"/>
    <s v="Rhode Island"/>
    <s v="Providence"/>
    <x v="4"/>
    <n v="0.54999999999999993"/>
    <n v="2000"/>
    <x v="405"/>
    <n v="274.99999999999994"/>
    <n v="0.25"/>
  </r>
  <r>
    <x v="0"/>
    <x v="0"/>
    <x v="236"/>
    <x v="0"/>
    <s v="Rhode Island"/>
    <s v="Providence"/>
    <x v="5"/>
    <n v="0.6"/>
    <n v="3250"/>
    <x v="212"/>
    <n v="585"/>
    <n v="0.3"/>
  </r>
  <r>
    <x v="0"/>
    <x v="0"/>
    <x v="41"/>
    <x v="0"/>
    <s v="Rhode Island"/>
    <s v="Providence"/>
    <x v="0"/>
    <n v="0.54999999999999993"/>
    <n v="5750"/>
    <x v="745"/>
    <n v="948.74999999999977"/>
    <n v="0.3"/>
  </r>
  <r>
    <x v="0"/>
    <x v="0"/>
    <x v="41"/>
    <x v="0"/>
    <s v="Rhode Island"/>
    <s v="Providence"/>
    <x v="1"/>
    <n v="0.5"/>
    <n v="3250"/>
    <x v="132"/>
    <n v="487.5"/>
    <n v="0.3"/>
  </r>
  <r>
    <x v="0"/>
    <x v="0"/>
    <x v="41"/>
    <x v="0"/>
    <s v="Rhode Island"/>
    <s v="Providence"/>
    <x v="2"/>
    <n v="0.45"/>
    <n v="2500"/>
    <x v="127"/>
    <n v="281.25"/>
    <n v="0.25"/>
  </r>
  <r>
    <x v="0"/>
    <x v="0"/>
    <x v="41"/>
    <x v="0"/>
    <s v="Rhode Island"/>
    <s v="Providence"/>
    <x v="3"/>
    <n v="0.45"/>
    <n v="2250"/>
    <x v="177"/>
    <n v="253.125"/>
    <n v="0.25"/>
  </r>
  <r>
    <x v="0"/>
    <x v="0"/>
    <x v="41"/>
    <x v="0"/>
    <s v="Rhode Island"/>
    <s v="Providence"/>
    <x v="4"/>
    <n v="0.54999999999999993"/>
    <n v="2250"/>
    <x v="427"/>
    <n v="309.37499999999994"/>
    <n v="0.25"/>
  </r>
  <r>
    <x v="0"/>
    <x v="0"/>
    <x v="41"/>
    <x v="0"/>
    <s v="Rhode Island"/>
    <s v="Providence"/>
    <x v="5"/>
    <n v="0.6"/>
    <n v="3750"/>
    <x v="39"/>
    <n v="675"/>
    <n v="0.3"/>
  </r>
  <r>
    <x v="0"/>
    <x v="0"/>
    <x v="260"/>
    <x v="0"/>
    <s v="Rhode Island"/>
    <s v="Providence"/>
    <x v="0"/>
    <n v="0.54999999999999993"/>
    <n v="6000"/>
    <x v="77"/>
    <n v="989.99999999999977"/>
    <n v="0.3"/>
  </r>
  <r>
    <x v="0"/>
    <x v="0"/>
    <x v="260"/>
    <x v="0"/>
    <s v="Rhode Island"/>
    <s v="Providence"/>
    <x v="1"/>
    <n v="0.5"/>
    <n v="3500"/>
    <x v="157"/>
    <n v="525"/>
    <n v="0.3"/>
  </r>
  <r>
    <x v="0"/>
    <x v="0"/>
    <x v="260"/>
    <x v="0"/>
    <s v="Rhode Island"/>
    <s v="Providence"/>
    <x v="2"/>
    <n v="0.45"/>
    <n v="2750"/>
    <x v="116"/>
    <n v="309.375"/>
    <n v="0.25"/>
  </r>
  <r>
    <x v="0"/>
    <x v="0"/>
    <x v="260"/>
    <x v="0"/>
    <s v="Rhode Island"/>
    <s v="Providence"/>
    <x v="3"/>
    <n v="0.45"/>
    <n v="2250"/>
    <x v="177"/>
    <n v="253.125"/>
    <n v="0.25"/>
  </r>
  <r>
    <x v="0"/>
    <x v="0"/>
    <x v="260"/>
    <x v="0"/>
    <s v="Rhode Island"/>
    <s v="Providence"/>
    <x v="4"/>
    <n v="0.54999999999999993"/>
    <n v="2500"/>
    <x v="695"/>
    <n v="343.74999999999994"/>
    <n v="0.25"/>
  </r>
  <r>
    <x v="0"/>
    <x v="0"/>
    <x v="260"/>
    <x v="0"/>
    <s v="Rhode Island"/>
    <s v="Providence"/>
    <x v="5"/>
    <n v="0.6"/>
    <n v="4250"/>
    <x v="141"/>
    <n v="765"/>
    <n v="0.3"/>
  </r>
  <r>
    <x v="0"/>
    <x v="0"/>
    <x v="261"/>
    <x v="0"/>
    <s v="Rhode Island"/>
    <s v="Providence"/>
    <x v="0"/>
    <n v="0.54999999999999993"/>
    <n v="5750"/>
    <x v="745"/>
    <n v="948.74999999999977"/>
    <n v="0.3"/>
  </r>
  <r>
    <x v="0"/>
    <x v="0"/>
    <x v="261"/>
    <x v="0"/>
    <s v="Rhode Island"/>
    <s v="Providence"/>
    <x v="1"/>
    <n v="0.5"/>
    <n v="3500"/>
    <x v="157"/>
    <n v="525"/>
    <n v="0.3"/>
  </r>
  <r>
    <x v="0"/>
    <x v="0"/>
    <x v="261"/>
    <x v="0"/>
    <s v="Rhode Island"/>
    <s v="Providence"/>
    <x v="2"/>
    <n v="0.45"/>
    <n v="2750"/>
    <x v="116"/>
    <n v="309.375"/>
    <n v="0.25"/>
  </r>
  <r>
    <x v="0"/>
    <x v="0"/>
    <x v="261"/>
    <x v="0"/>
    <s v="Rhode Island"/>
    <s v="Providence"/>
    <x v="3"/>
    <n v="0.45"/>
    <n v="1750"/>
    <x v="120"/>
    <n v="196.875"/>
    <n v="0.25"/>
  </r>
  <r>
    <x v="0"/>
    <x v="0"/>
    <x v="261"/>
    <x v="0"/>
    <s v="Rhode Island"/>
    <s v="Providence"/>
    <x v="4"/>
    <n v="0.54999999999999993"/>
    <n v="1500"/>
    <x v="370"/>
    <n v="206.24999999999997"/>
    <n v="0.25"/>
  </r>
  <r>
    <x v="0"/>
    <x v="0"/>
    <x v="261"/>
    <x v="0"/>
    <s v="Rhode Island"/>
    <s v="Providence"/>
    <x v="5"/>
    <n v="0.6"/>
    <n v="3250"/>
    <x v="212"/>
    <n v="585"/>
    <n v="0.3"/>
  </r>
  <r>
    <x v="0"/>
    <x v="0"/>
    <x v="239"/>
    <x v="0"/>
    <s v="Rhode Island"/>
    <s v="Providence"/>
    <x v="0"/>
    <n v="0.54999999999999993"/>
    <n v="4500"/>
    <x v="357"/>
    <n v="742.49999999999989"/>
    <n v="0.3"/>
  </r>
  <r>
    <x v="0"/>
    <x v="0"/>
    <x v="239"/>
    <x v="0"/>
    <s v="Rhode Island"/>
    <s v="Providence"/>
    <x v="1"/>
    <n v="0.5"/>
    <n v="2500"/>
    <x v="142"/>
    <n v="375"/>
    <n v="0.3"/>
  </r>
  <r>
    <x v="0"/>
    <x v="0"/>
    <x v="239"/>
    <x v="0"/>
    <s v="Rhode Island"/>
    <s v="Providence"/>
    <x v="2"/>
    <n v="0.45"/>
    <n v="1500"/>
    <x v="321"/>
    <n v="168.75"/>
    <n v="0.25"/>
  </r>
  <r>
    <x v="0"/>
    <x v="0"/>
    <x v="239"/>
    <x v="0"/>
    <s v="Rhode Island"/>
    <s v="Providence"/>
    <x v="3"/>
    <n v="0.45"/>
    <n v="1250"/>
    <x v="180"/>
    <n v="140.625"/>
    <n v="0.25"/>
  </r>
  <r>
    <x v="0"/>
    <x v="0"/>
    <x v="239"/>
    <x v="0"/>
    <s v="Rhode Island"/>
    <s v="Providence"/>
    <x v="4"/>
    <n v="0.54999999999999993"/>
    <n v="1250"/>
    <x v="179"/>
    <n v="171.87499999999997"/>
    <n v="0.25"/>
  </r>
  <r>
    <x v="0"/>
    <x v="0"/>
    <x v="239"/>
    <x v="0"/>
    <s v="Rhode Island"/>
    <s v="Providence"/>
    <x v="5"/>
    <n v="0.6"/>
    <n v="2250"/>
    <x v="198"/>
    <n v="405"/>
    <n v="0.3"/>
  </r>
  <r>
    <x v="0"/>
    <x v="0"/>
    <x v="45"/>
    <x v="0"/>
    <s v="Rhode Island"/>
    <s v="Providence"/>
    <x v="0"/>
    <n v="0.6"/>
    <n v="4000"/>
    <x v="50"/>
    <n v="720"/>
    <n v="0.3"/>
  </r>
  <r>
    <x v="0"/>
    <x v="0"/>
    <x v="45"/>
    <x v="0"/>
    <s v="Rhode Island"/>
    <s v="Providence"/>
    <x v="1"/>
    <n v="0.55000000000000004"/>
    <n v="2250"/>
    <x v="116"/>
    <n v="371.25"/>
    <n v="0.3"/>
  </r>
  <r>
    <x v="0"/>
    <x v="0"/>
    <x v="45"/>
    <x v="0"/>
    <s v="Rhode Island"/>
    <s v="Providence"/>
    <x v="2"/>
    <n v="0.55000000000000004"/>
    <n v="1250"/>
    <x v="389"/>
    <n v="171.875"/>
    <n v="0.25"/>
  </r>
  <r>
    <x v="0"/>
    <x v="0"/>
    <x v="45"/>
    <x v="0"/>
    <s v="Rhode Island"/>
    <s v="Providence"/>
    <x v="3"/>
    <n v="0.55000000000000004"/>
    <n v="1000"/>
    <x v="189"/>
    <n v="137.5"/>
    <n v="0.25"/>
  </r>
  <r>
    <x v="0"/>
    <x v="0"/>
    <x v="45"/>
    <x v="0"/>
    <s v="Rhode Island"/>
    <s v="Providence"/>
    <x v="4"/>
    <n v="0.65"/>
    <n v="1000"/>
    <x v="406"/>
    <n v="162.5"/>
    <n v="0.25"/>
  </r>
  <r>
    <x v="0"/>
    <x v="0"/>
    <x v="45"/>
    <x v="0"/>
    <s v="Rhode Island"/>
    <s v="Providence"/>
    <x v="5"/>
    <n v="0.7"/>
    <n v="2250"/>
    <x v="151"/>
    <n v="472.5"/>
    <n v="0.3"/>
  </r>
  <r>
    <x v="0"/>
    <x v="0"/>
    <x v="262"/>
    <x v="0"/>
    <s v="Rhode Island"/>
    <s v="Providence"/>
    <x v="0"/>
    <n v="0.65"/>
    <n v="3750"/>
    <x v="239"/>
    <n v="731.25"/>
    <n v="0.3"/>
  </r>
  <r>
    <x v="0"/>
    <x v="0"/>
    <x v="262"/>
    <x v="0"/>
    <s v="Rhode Island"/>
    <s v="Providence"/>
    <x v="1"/>
    <n v="0.55000000000000004"/>
    <n v="3000"/>
    <x v="205"/>
    <n v="495.00000000000006"/>
    <n v="0.3"/>
  </r>
  <r>
    <x v="0"/>
    <x v="0"/>
    <x v="262"/>
    <x v="0"/>
    <s v="Rhode Island"/>
    <s v="Providence"/>
    <x v="2"/>
    <n v="0.55000000000000004"/>
    <n v="2950"/>
    <x v="743"/>
    <n v="405.62500000000006"/>
    <n v="0.25"/>
  </r>
  <r>
    <x v="0"/>
    <x v="0"/>
    <x v="262"/>
    <x v="0"/>
    <s v="Rhode Island"/>
    <s v="Providence"/>
    <x v="3"/>
    <n v="0.55000000000000004"/>
    <n v="2750"/>
    <x v="408"/>
    <n v="378.12500000000006"/>
    <n v="0.25"/>
  </r>
  <r>
    <x v="0"/>
    <x v="0"/>
    <x v="262"/>
    <x v="0"/>
    <s v="Rhode Island"/>
    <s v="Providence"/>
    <x v="4"/>
    <n v="0.65"/>
    <n v="2500"/>
    <x v="132"/>
    <n v="406.25"/>
    <n v="0.25"/>
  </r>
  <r>
    <x v="0"/>
    <x v="0"/>
    <x v="262"/>
    <x v="0"/>
    <s v="Rhode Island"/>
    <s v="Providence"/>
    <x v="5"/>
    <n v="0.7"/>
    <n v="3500"/>
    <x v="41"/>
    <n v="735"/>
    <n v="0.3"/>
  </r>
  <r>
    <x v="0"/>
    <x v="0"/>
    <x v="263"/>
    <x v="0"/>
    <s v="Rhode Island"/>
    <s v="Providence"/>
    <x v="0"/>
    <n v="0.65"/>
    <n v="5750"/>
    <x v="90"/>
    <n v="1121.25"/>
    <n v="0.3"/>
  </r>
  <r>
    <x v="0"/>
    <x v="0"/>
    <x v="263"/>
    <x v="0"/>
    <s v="Rhode Island"/>
    <s v="Providence"/>
    <x v="1"/>
    <n v="0.55000000000000004"/>
    <n v="3750"/>
    <x v="138"/>
    <n v="618.75"/>
    <n v="0.3"/>
  </r>
  <r>
    <x v="0"/>
    <x v="0"/>
    <x v="263"/>
    <x v="0"/>
    <s v="Rhode Island"/>
    <s v="Providence"/>
    <x v="2"/>
    <n v="0.55000000000000004"/>
    <n v="3500"/>
    <x v="136"/>
    <n v="481.25000000000006"/>
    <n v="0.25"/>
  </r>
  <r>
    <x v="0"/>
    <x v="0"/>
    <x v="263"/>
    <x v="0"/>
    <s v="Rhode Island"/>
    <s v="Providence"/>
    <x v="3"/>
    <n v="0.55000000000000004"/>
    <n v="3000"/>
    <x v="205"/>
    <n v="412.50000000000006"/>
    <n v="0.25"/>
  </r>
  <r>
    <x v="0"/>
    <x v="0"/>
    <x v="263"/>
    <x v="0"/>
    <s v="Rhode Island"/>
    <s v="Providence"/>
    <x v="4"/>
    <n v="0.65"/>
    <n v="3000"/>
    <x v="212"/>
    <n v="487.5"/>
    <n v="0.25"/>
  </r>
  <r>
    <x v="0"/>
    <x v="0"/>
    <x v="263"/>
    <x v="0"/>
    <s v="Rhode Island"/>
    <s v="Providence"/>
    <x v="5"/>
    <n v="0.7"/>
    <n v="4000"/>
    <x v="59"/>
    <n v="840"/>
    <n v="0.3"/>
  </r>
  <r>
    <x v="0"/>
    <x v="0"/>
    <x v="0"/>
    <x v="0"/>
    <s v="Massachusetts"/>
    <s v="Boston"/>
    <x v="0"/>
    <n v="0.45"/>
    <n v="5250"/>
    <x v="45"/>
    <n v="1063.125"/>
    <n v="0.45"/>
  </r>
  <r>
    <x v="0"/>
    <x v="0"/>
    <x v="0"/>
    <x v="0"/>
    <s v="Massachusetts"/>
    <s v="Boston"/>
    <x v="1"/>
    <n v="0.45"/>
    <n v="3250"/>
    <x v="334"/>
    <n v="658.125"/>
    <n v="0.45"/>
  </r>
  <r>
    <x v="0"/>
    <x v="0"/>
    <x v="0"/>
    <x v="0"/>
    <s v="Massachusetts"/>
    <s v="Boston"/>
    <x v="2"/>
    <n v="0.35000000000000003"/>
    <n v="3250"/>
    <x v="165"/>
    <n v="398.125"/>
    <n v="0.35"/>
  </r>
  <r>
    <x v="0"/>
    <x v="0"/>
    <x v="0"/>
    <x v="0"/>
    <s v="Massachusetts"/>
    <s v="Boston"/>
    <x v="3"/>
    <n v="0.39999999999999997"/>
    <n v="1750"/>
    <x v="746"/>
    <n v="244.99999999999994"/>
    <n v="0.35"/>
  </r>
  <r>
    <x v="0"/>
    <x v="0"/>
    <x v="0"/>
    <x v="0"/>
    <s v="Massachusetts"/>
    <s v="Boston"/>
    <x v="4"/>
    <n v="0.55000000000000004"/>
    <n v="2250"/>
    <x v="116"/>
    <n v="433.125"/>
    <n v="0.35"/>
  </r>
  <r>
    <x v="0"/>
    <x v="0"/>
    <x v="0"/>
    <x v="0"/>
    <s v="Massachusetts"/>
    <s v="Boston"/>
    <x v="5"/>
    <n v="0.45"/>
    <n v="3250"/>
    <x v="334"/>
    <n v="585"/>
    <n v="0.39999999999999997"/>
  </r>
  <r>
    <x v="0"/>
    <x v="0"/>
    <x v="1"/>
    <x v="0"/>
    <s v="Massachusetts"/>
    <s v="Boston"/>
    <x v="0"/>
    <n v="0.45"/>
    <n v="5750"/>
    <x v="70"/>
    <n v="1164.375"/>
    <n v="0.45"/>
  </r>
  <r>
    <x v="0"/>
    <x v="0"/>
    <x v="1"/>
    <x v="0"/>
    <s v="Massachusetts"/>
    <s v="Boston"/>
    <x v="1"/>
    <n v="0.45"/>
    <n v="2250"/>
    <x v="177"/>
    <n v="455.625"/>
    <n v="0.45"/>
  </r>
  <r>
    <x v="0"/>
    <x v="0"/>
    <x v="1"/>
    <x v="0"/>
    <s v="Massachusetts"/>
    <s v="Boston"/>
    <x v="2"/>
    <n v="0.35000000000000003"/>
    <n v="2750"/>
    <x v="117"/>
    <n v="336.875"/>
    <n v="0.35"/>
  </r>
  <r>
    <x v="0"/>
    <x v="0"/>
    <x v="1"/>
    <x v="0"/>
    <s v="Massachusetts"/>
    <s v="Boston"/>
    <x v="3"/>
    <n v="0.39999999999999997"/>
    <n v="1500"/>
    <x v="128"/>
    <n v="210"/>
    <n v="0.35"/>
  </r>
  <r>
    <x v="0"/>
    <x v="0"/>
    <x v="1"/>
    <x v="0"/>
    <s v="Massachusetts"/>
    <s v="Boston"/>
    <x v="4"/>
    <n v="0.55000000000000004"/>
    <n v="2250"/>
    <x v="116"/>
    <n v="433.125"/>
    <n v="0.35"/>
  </r>
  <r>
    <x v="0"/>
    <x v="0"/>
    <x v="1"/>
    <x v="0"/>
    <s v="Massachusetts"/>
    <s v="Boston"/>
    <x v="5"/>
    <n v="0.45"/>
    <n v="3250"/>
    <x v="334"/>
    <n v="585"/>
    <n v="0.39999999999999997"/>
  </r>
  <r>
    <x v="0"/>
    <x v="0"/>
    <x v="2"/>
    <x v="0"/>
    <s v="Massachusetts"/>
    <s v="Boston"/>
    <x v="0"/>
    <n v="0.45"/>
    <n v="5450"/>
    <x v="747"/>
    <n v="1103.625"/>
    <n v="0.45"/>
  </r>
  <r>
    <x v="0"/>
    <x v="0"/>
    <x v="2"/>
    <x v="0"/>
    <s v="Massachusetts"/>
    <s v="Boston"/>
    <x v="1"/>
    <n v="0.45"/>
    <n v="2500"/>
    <x v="127"/>
    <n v="506.25"/>
    <n v="0.45"/>
  </r>
  <r>
    <x v="0"/>
    <x v="0"/>
    <x v="2"/>
    <x v="0"/>
    <s v="Massachusetts"/>
    <s v="Boston"/>
    <x v="2"/>
    <n v="0.35000000000000003"/>
    <n v="2750"/>
    <x v="117"/>
    <n v="336.875"/>
    <n v="0.35"/>
  </r>
  <r>
    <x v="0"/>
    <x v="0"/>
    <x v="2"/>
    <x v="0"/>
    <s v="Massachusetts"/>
    <s v="Boston"/>
    <x v="3"/>
    <n v="0.39999999999999997"/>
    <n v="1250"/>
    <x v="379"/>
    <n v="174.99999999999997"/>
    <n v="0.35"/>
  </r>
  <r>
    <x v="0"/>
    <x v="0"/>
    <x v="2"/>
    <x v="0"/>
    <s v="Massachusetts"/>
    <s v="Boston"/>
    <x v="4"/>
    <n v="0.55000000000000004"/>
    <n v="1750"/>
    <x v="117"/>
    <n v="336.875"/>
    <n v="0.35"/>
  </r>
  <r>
    <x v="0"/>
    <x v="0"/>
    <x v="2"/>
    <x v="0"/>
    <s v="Massachusetts"/>
    <s v="Boston"/>
    <x v="5"/>
    <n v="0.45"/>
    <n v="2750"/>
    <x v="116"/>
    <n v="494.99999999999994"/>
    <n v="0.39999999999999997"/>
  </r>
  <r>
    <x v="0"/>
    <x v="0"/>
    <x v="3"/>
    <x v="0"/>
    <s v="Massachusetts"/>
    <s v="Boston"/>
    <x v="0"/>
    <n v="0.45"/>
    <n v="5250"/>
    <x v="45"/>
    <n v="1063.125"/>
    <n v="0.45"/>
  </r>
  <r>
    <x v="0"/>
    <x v="0"/>
    <x v="3"/>
    <x v="0"/>
    <s v="Massachusetts"/>
    <s v="Boston"/>
    <x v="1"/>
    <n v="0.45"/>
    <n v="2250"/>
    <x v="177"/>
    <n v="455.625"/>
    <n v="0.45"/>
  </r>
  <r>
    <x v="0"/>
    <x v="0"/>
    <x v="3"/>
    <x v="0"/>
    <s v="Massachusetts"/>
    <s v="Boston"/>
    <x v="2"/>
    <n v="0.35000000000000003"/>
    <n v="2250"/>
    <x v="121"/>
    <n v="275.625"/>
    <n v="0.35"/>
  </r>
  <r>
    <x v="0"/>
    <x v="0"/>
    <x v="3"/>
    <x v="0"/>
    <s v="Massachusetts"/>
    <s v="Boston"/>
    <x v="3"/>
    <n v="0.39999999999999997"/>
    <n v="1500"/>
    <x v="128"/>
    <n v="210"/>
    <n v="0.35"/>
  </r>
  <r>
    <x v="0"/>
    <x v="0"/>
    <x v="3"/>
    <x v="0"/>
    <s v="Massachusetts"/>
    <s v="Boston"/>
    <x v="4"/>
    <n v="0.55000000000000004"/>
    <n v="1500"/>
    <x v="188"/>
    <n v="288.75"/>
    <n v="0.35"/>
  </r>
  <r>
    <x v="0"/>
    <x v="0"/>
    <x v="3"/>
    <x v="0"/>
    <s v="Massachusetts"/>
    <s v="Boston"/>
    <x v="5"/>
    <n v="0.45"/>
    <n v="3000"/>
    <x v="198"/>
    <n v="540"/>
    <n v="0.39999999999999997"/>
  </r>
  <r>
    <x v="0"/>
    <x v="0"/>
    <x v="4"/>
    <x v="0"/>
    <s v="Massachusetts"/>
    <s v="Boston"/>
    <x v="0"/>
    <n v="0.6"/>
    <n v="5700"/>
    <x v="748"/>
    <n v="1539"/>
    <n v="0.45"/>
  </r>
  <r>
    <x v="0"/>
    <x v="0"/>
    <x v="4"/>
    <x v="0"/>
    <s v="Massachusetts"/>
    <s v="Boston"/>
    <x v="1"/>
    <n v="0.55000000000000004"/>
    <n v="2750"/>
    <x v="408"/>
    <n v="680.62500000000011"/>
    <n v="0.45"/>
  </r>
  <r>
    <x v="0"/>
    <x v="0"/>
    <x v="4"/>
    <x v="0"/>
    <s v="Massachusetts"/>
    <s v="Boston"/>
    <x v="2"/>
    <n v="0.5"/>
    <n v="3000"/>
    <x v="146"/>
    <n v="525"/>
    <n v="0.35"/>
  </r>
  <r>
    <x v="0"/>
    <x v="0"/>
    <x v="4"/>
    <x v="0"/>
    <s v="Massachusetts"/>
    <s v="Boston"/>
    <x v="3"/>
    <n v="0.5"/>
    <n v="2500"/>
    <x v="142"/>
    <n v="437.5"/>
    <n v="0.35"/>
  </r>
  <r>
    <x v="0"/>
    <x v="0"/>
    <x v="4"/>
    <x v="0"/>
    <s v="Massachusetts"/>
    <s v="Boston"/>
    <x v="4"/>
    <n v="0.6"/>
    <n v="2750"/>
    <x v="240"/>
    <n v="577.5"/>
    <n v="0.35"/>
  </r>
  <r>
    <x v="0"/>
    <x v="0"/>
    <x v="4"/>
    <x v="0"/>
    <s v="Massachusetts"/>
    <s v="Boston"/>
    <x v="5"/>
    <n v="0.65"/>
    <n v="4000"/>
    <x v="51"/>
    <n v="1040"/>
    <n v="0.39999999999999997"/>
  </r>
  <r>
    <x v="0"/>
    <x v="0"/>
    <x v="5"/>
    <x v="0"/>
    <s v="Massachusetts"/>
    <s v="Boston"/>
    <x v="0"/>
    <n v="0.6"/>
    <n v="6500"/>
    <x v="87"/>
    <n v="1755"/>
    <n v="0.45"/>
  </r>
  <r>
    <x v="0"/>
    <x v="0"/>
    <x v="5"/>
    <x v="0"/>
    <s v="Massachusetts"/>
    <s v="Boston"/>
    <x v="1"/>
    <n v="0.55000000000000004"/>
    <n v="4000"/>
    <x v="42"/>
    <n v="990"/>
    <n v="0.45"/>
  </r>
  <r>
    <x v="0"/>
    <x v="0"/>
    <x v="5"/>
    <x v="0"/>
    <s v="Massachusetts"/>
    <s v="Boston"/>
    <x v="2"/>
    <n v="0.5"/>
    <n v="3250"/>
    <x v="132"/>
    <n v="568.75"/>
    <n v="0.35"/>
  </r>
  <r>
    <x v="0"/>
    <x v="0"/>
    <x v="5"/>
    <x v="0"/>
    <s v="Massachusetts"/>
    <s v="Boston"/>
    <x v="3"/>
    <n v="0.5"/>
    <n v="3000"/>
    <x v="146"/>
    <n v="525"/>
    <n v="0.35"/>
  </r>
  <r>
    <x v="0"/>
    <x v="0"/>
    <x v="5"/>
    <x v="0"/>
    <s v="Massachusetts"/>
    <s v="Boston"/>
    <x v="4"/>
    <n v="0.6"/>
    <n v="3000"/>
    <x v="207"/>
    <n v="630"/>
    <n v="0.35"/>
  </r>
  <r>
    <x v="0"/>
    <x v="0"/>
    <x v="5"/>
    <x v="0"/>
    <s v="Massachusetts"/>
    <s v="Boston"/>
    <x v="5"/>
    <n v="0.65"/>
    <n v="4500"/>
    <x v="62"/>
    <n v="1170"/>
    <n v="0.39999999999999997"/>
  </r>
  <r>
    <x v="0"/>
    <x v="0"/>
    <x v="6"/>
    <x v="0"/>
    <s v="Massachusetts"/>
    <s v="Boston"/>
    <x v="0"/>
    <n v="0.6"/>
    <n v="6750"/>
    <x v="72"/>
    <n v="1822.5"/>
    <n v="0.45"/>
  </r>
  <r>
    <x v="0"/>
    <x v="0"/>
    <x v="6"/>
    <x v="0"/>
    <s v="Massachusetts"/>
    <s v="Boston"/>
    <x v="1"/>
    <n v="0.55000000000000004"/>
    <n v="4250"/>
    <x v="256"/>
    <n v="1051.875"/>
    <n v="0.45"/>
  </r>
  <r>
    <x v="0"/>
    <x v="0"/>
    <x v="6"/>
    <x v="0"/>
    <s v="Massachusetts"/>
    <s v="Boston"/>
    <x v="2"/>
    <n v="0.5"/>
    <n v="3500"/>
    <x v="157"/>
    <n v="612.5"/>
    <n v="0.35"/>
  </r>
  <r>
    <x v="0"/>
    <x v="0"/>
    <x v="6"/>
    <x v="0"/>
    <s v="Massachusetts"/>
    <s v="Boston"/>
    <x v="3"/>
    <n v="0.5"/>
    <n v="3000"/>
    <x v="146"/>
    <n v="525"/>
    <n v="0.35"/>
  </r>
  <r>
    <x v="0"/>
    <x v="0"/>
    <x v="6"/>
    <x v="0"/>
    <s v="Massachusetts"/>
    <s v="Boston"/>
    <x v="4"/>
    <n v="0.6"/>
    <n v="3250"/>
    <x v="212"/>
    <n v="682.5"/>
    <n v="0.35"/>
  </r>
  <r>
    <x v="0"/>
    <x v="0"/>
    <x v="6"/>
    <x v="0"/>
    <s v="Massachusetts"/>
    <s v="Boston"/>
    <x v="5"/>
    <n v="0.65"/>
    <n v="5000"/>
    <x v="82"/>
    <n v="1300"/>
    <n v="0.39999999999999997"/>
  </r>
  <r>
    <x v="0"/>
    <x v="0"/>
    <x v="7"/>
    <x v="0"/>
    <s v="Massachusetts"/>
    <s v="Boston"/>
    <x v="0"/>
    <n v="0.6"/>
    <n v="6500"/>
    <x v="87"/>
    <n v="1755"/>
    <n v="0.45"/>
  </r>
  <r>
    <x v="0"/>
    <x v="0"/>
    <x v="7"/>
    <x v="0"/>
    <s v="Massachusetts"/>
    <s v="Boston"/>
    <x v="1"/>
    <n v="0.55000000000000004"/>
    <n v="4250"/>
    <x v="256"/>
    <n v="1051.875"/>
    <n v="0.45"/>
  </r>
  <r>
    <x v="0"/>
    <x v="0"/>
    <x v="7"/>
    <x v="0"/>
    <s v="Massachusetts"/>
    <s v="Boston"/>
    <x v="2"/>
    <n v="0.5"/>
    <n v="3500"/>
    <x v="157"/>
    <n v="612.5"/>
    <n v="0.35"/>
  </r>
  <r>
    <x v="0"/>
    <x v="0"/>
    <x v="7"/>
    <x v="0"/>
    <s v="Massachusetts"/>
    <s v="Boston"/>
    <x v="3"/>
    <n v="0.5"/>
    <n v="2500"/>
    <x v="142"/>
    <n v="437.5"/>
    <n v="0.35"/>
  </r>
  <r>
    <x v="0"/>
    <x v="0"/>
    <x v="7"/>
    <x v="0"/>
    <s v="Massachusetts"/>
    <s v="Boston"/>
    <x v="4"/>
    <n v="0.6"/>
    <n v="2250"/>
    <x v="198"/>
    <n v="472.49999999999994"/>
    <n v="0.35"/>
  </r>
  <r>
    <x v="0"/>
    <x v="0"/>
    <x v="7"/>
    <x v="0"/>
    <s v="Massachusetts"/>
    <s v="Boston"/>
    <x v="5"/>
    <n v="0.65"/>
    <n v="4000"/>
    <x v="51"/>
    <n v="1040"/>
    <n v="0.39999999999999997"/>
  </r>
  <r>
    <x v="0"/>
    <x v="0"/>
    <x v="8"/>
    <x v="0"/>
    <s v="Massachusetts"/>
    <s v="Boston"/>
    <x v="0"/>
    <n v="0.6"/>
    <n v="5250"/>
    <x v="40"/>
    <n v="1417.5"/>
    <n v="0.45"/>
  </r>
  <r>
    <x v="0"/>
    <x v="0"/>
    <x v="8"/>
    <x v="0"/>
    <s v="Massachusetts"/>
    <s v="Boston"/>
    <x v="1"/>
    <n v="0.55000000000000004"/>
    <n v="3250"/>
    <x v="255"/>
    <n v="804.37500000000011"/>
    <n v="0.45"/>
  </r>
  <r>
    <x v="0"/>
    <x v="0"/>
    <x v="8"/>
    <x v="0"/>
    <s v="Massachusetts"/>
    <s v="Boston"/>
    <x v="2"/>
    <n v="0.5"/>
    <n v="2250"/>
    <x v="127"/>
    <n v="393.75"/>
    <n v="0.35"/>
  </r>
  <r>
    <x v="0"/>
    <x v="0"/>
    <x v="8"/>
    <x v="0"/>
    <s v="Massachusetts"/>
    <s v="Boston"/>
    <x v="3"/>
    <n v="0.5"/>
    <n v="2000"/>
    <x v="123"/>
    <n v="350"/>
    <n v="0.35"/>
  </r>
  <r>
    <x v="0"/>
    <x v="0"/>
    <x v="8"/>
    <x v="0"/>
    <s v="Massachusetts"/>
    <s v="Boston"/>
    <x v="4"/>
    <n v="0.6"/>
    <n v="2000"/>
    <x v="147"/>
    <n v="420"/>
    <n v="0.35"/>
  </r>
  <r>
    <x v="0"/>
    <x v="0"/>
    <x v="8"/>
    <x v="0"/>
    <s v="Massachusetts"/>
    <s v="Boston"/>
    <x v="5"/>
    <n v="0.65"/>
    <n v="3000"/>
    <x v="212"/>
    <n v="779.99999999999989"/>
    <n v="0.39999999999999997"/>
  </r>
  <r>
    <x v="0"/>
    <x v="0"/>
    <x v="9"/>
    <x v="0"/>
    <s v="Massachusetts"/>
    <s v="Boston"/>
    <x v="0"/>
    <n v="0.65"/>
    <n v="4750"/>
    <x v="197"/>
    <n v="1389.375"/>
    <n v="0.45"/>
  </r>
  <r>
    <x v="0"/>
    <x v="0"/>
    <x v="9"/>
    <x v="0"/>
    <s v="Massachusetts"/>
    <s v="Boston"/>
    <x v="1"/>
    <n v="0.60000000000000009"/>
    <n v="3000"/>
    <x v="166"/>
    <n v="810.00000000000011"/>
    <n v="0.45"/>
  </r>
  <r>
    <x v="0"/>
    <x v="0"/>
    <x v="9"/>
    <x v="0"/>
    <s v="Massachusetts"/>
    <s v="Boston"/>
    <x v="2"/>
    <n v="0.60000000000000009"/>
    <n v="2000"/>
    <x v="200"/>
    <n v="420.00000000000006"/>
    <n v="0.35"/>
  </r>
  <r>
    <x v="0"/>
    <x v="0"/>
    <x v="9"/>
    <x v="0"/>
    <s v="Massachusetts"/>
    <s v="Boston"/>
    <x v="3"/>
    <n v="0.60000000000000009"/>
    <n v="1750"/>
    <x v="187"/>
    <n v="367.50000000000006"/>
    <n v="0.35"/>
  </r>
  <r>
    <x v="0"/>
    <x v="0"/>
    <x v="9"/>
    <x v="0"/>
    <s v="Massachusetts"/>
    <s v="Boston"/>
    <x v="4"/>
    <n v="0.70000000000000007"/>
    <n v="1750"/>
    <x v="206"/>
    <n v="428.75000000000006"/>
    <n v="0.35"/>
  </r>
  <r>
    <x v="0"/>
    <x v="0"/>
    <x v="9"/>
    <x v="0"/>
    <s v="Massachusetts"/>
    <s v="Boston"/>
    <x v="5"/>
    <n v="0.75"/>
    <n v="3000"/>
    <x v="39"/>
    <n v="899.99999999999989"/>
    <n v="0.39999999999999997"/>
  </r>
  <r>
    <x v="0"/>
    <x v="0"/>
    <x v="10"/>
    <x v="0"/>
    <s v="Massachusetts"/>
    <s v="Boston"/>
    <x v="0"/>
    <n v="0.70000000000000007"/>
    <n v="4500"/>
    <x v="254"/>
    <n v="1417.5000000000002"/>
    <n v="0.45"/>
  </r>
  <r>
    <x v="0"/>
    <x v="0"/>
    <x v="10"/>
    <x v="0"/>
    <s v="Massachusetts"/>
    <s v="Boston"/>
    <x v="1"/>
    <n v="0.60000000000000009"/>
    <n v="3250"/>
    <x v="470"/>
    <n v="877.50000000000011"/>
    <n v="0.45"/>
  </r>
  <r>
    <x v="0"/>
    <x v="0"/>
    <x v="10"/>
    <x v="0"/>
    <s v="Massachusetts"/>
    <s v="Boston"/>
    <x v="2"/>
    <n v="0.60000000000000009"/>
    <n v="3200"/>
    <x v="749"/>
    <n v="672"/>
    <n v="0.35"/>
  </r>
  <r>
    <x v="0"/>
    <x v="0"/>
    <x v="10"/>
    <x v="0"/>
    <s v="Massachusetts"/>
    <s v="Boston"/>
    <x v="3"/>
    <n v="0.60000000000000009"/>
    <n v="3000"/>
    <x v="166"/>
    <n v="630"/>
    <n v="0.35"/>
  </r>
  <r>
    <x v="0"/>
    <x v="0"/>
    <x v="10"/>
    <x v="0"/>
    <s v="Massachusetts"/>
    <s v="Boston"/>
    <x v="4"/>
    <n v="0.70000000000000007"/>
    <n v="2750"/>
    <x v="136"/>
    <n v="673.75"/>
    <n v="0.35"/>
  </r>
  <r>
    <x v="0"/>
    <x v="0"/>
    <x v="10"/>
    <x v="0"/>
    <s v="Massachusetts"/>
    <s v="Boston"/>
    <x v="5"/>
    <n v="0.75"/>
    <n v="3750"/>
    <x v="67"/>
    <n v="1125"/>
    <n v="0.39999999999999997"/>
  </r>
  <r>
    <x v="0"/>
    <x v="0"/>
    <x v="11"/>
    <x v="0"/>
    <s v="Massachusetts"/>
    <s v="Boston"/>
    <x v="0"/>
    <n v="0.70000000000000007"/>
    <n v="6000"/>
    <x v="81"/>
    <n v="1890"/>
    <n v="0.45"/>
  </r>
  <r>
    <x v="0"/>
    <x v="0"/>
    <x v="11"/>
    <x v="0"/>
    <s v="Massachusetts"/>
    <s v="Boston"/>
    <x v="1"/>
    <n v="0.60000000000000009"/>
    <n v="4000"/>
    <x v="218"/>
    <n v="1080.0000000000002"/>
    <n v="0.45"/>
  </r>
  <r>
    <x v="0"/>
    <x v="0"/>
    <x v="11"/>
    <x v="0"/>
    <s v="Massachusetts"/>
    <s v="Boston"/>
    <x v="2"/>
    <n v="0.60000000000000009"/>
    <n v="3750"/>
    <x v="223"/>
    <n v="787.50000000000011"/>
    <n v="0.35"/>
  </r>
  <r>
    <x v="0"/>
    <x v="0"/>
    <x v="11"/>
    <x v="0"/>
    <s v="Massachusetts"/>
    <s v="Boston"/>
    <x v="3"/>
    <n v="0.60000000000000009"/>
    <n v="3250"/>
    <x v="470"/>
    <n v="682.5"/>
    <n v="0.35"/>
  </r>
  <r>
    <x v="0"/>
    <x v="0"/>
    <x v="11"/>
    <x v="0"/>
    <s v="Massachusetts"/>
    <s v="Boston"/>
    <x v="4"/>
    <n v="0.70000000000000007"/>
    <n v="3250"/>
    <x v="154"/>
    <n v="796.25"/>
    <n v="0.35"/>
  </r>
  <r>
    <x v="0"/>
    <x v="0"/>
    <x v="11"/>
    <x v="0"/>
    <s v="Massachusetts"/>
    <s v="Boston"/>
    <x v="5"/>
    <n v="0.75"/>
    <n v="4250"/>
    <x v="674"/>
    <n v="1275"/>
    <n v="0.39999999999999997"/>
  </r>
  <r>
    <x v="0"/>
    <x v="0"/>
    <x v="124"/>
    <x v="0"/>
    <s v="Vermont"/>
    <s v="Burlington"/>
    <x v="0"/>
    <n v="0.5"/>
    <n v="5250"/>
    <x v="48"/>
    <n v="1050"/>
    <n v="0.4"/>
  </r>
  <r>
    <x v="0"/>
    <x v="0"/>
    <x v="124"/>
    <x v="0"/>
    <s v="Vermont"/>
    <s v="Burlington"/>
    <x v="1"/>
    <n v="0.5"/>
    <n v="3250"/>
    <x v="132"/>
    <n v="650"/>
    <n v="0.4"/>
  </r>
  <r>
    <x v="0"/>
    <x v="0"/>
    <x v="124"/>
    <x v="0"/>
    <s v="Vermont"/>
    <s v="Burlington"/>
    <x v="2"/>
    <n v="0.4"/>
    <n v="3250"/>
    <x v="194"/>
    <n v="390"/>
    <n v="0.3"/>
  </r>
  <r>
    <x v="0"/>
    <x v="0"/>
    <x v="124"/>
    <x v="0"/>
    <s v="Vermont"/>
    <s v="Burlington"/>
    <x v="3"/>
    <n v="0.44999999999999996"/>
    <n v="1750"/>
    <x v="474"/>
    <n v="236.24999999999994"/>
    <n v="0.3"/>
  </r>
  <r>
    <x v="0"/>
    <x v="0"/>
    <x v="124"/>
    <x v="0"/>
    <s v="Vermont"/>
    <s v="Burlington"/>
    <x v="4"/>
    <n v="0.60000000000000009"/>
    <n v="2250"/>
    <x v="139"/>
    <n v="405.00000000000006"/>
    <n v="0.3"/>
  </r>
  <r>
    <x v="0"/>
    <x v="0"/>
    <x v="124"/>
    <x v="0"/>
    <s v="Vermont"/>
    <s v="Burlington"/>
    <x v="5"/>
    <n v="0.5"/>
    <n v="3250"/>
    <x v="132"/>
    <n v="568.75"/>
    <n v="0.35"/>
  </r>
  <r>
    <x v="0"/>
    <x v="0"/>
    <x v="125"/>
    <x v="0"/>
    <s v="Vermont"/>
    <s v="Burlington"/>
    <x v="0"/>
    <n v="0.5"/>
    <n v="6000"/>
    <x v="61"/>
    <n v="1200"/>
    <n v="0.4"/>
  </r>
  <r>
    <x v="0"/>
    <x v="0"/>
    <x v="125"/>
    <x v="0"/>
    <s v="Vermont"/>
    <s v="Burlington"/>
    <x v="1"/>
    <n v="0.5"/>
    <n v="2500"/>
    <x v="142"/>
    <n v="500"/>
    <n v="0.4"/>
  </r>
  <r>
    <x v="0"/>
    <x v="0"/>
    <x v="125"/>
    <x v="0"/>
    <s v="Vermont"/>
    <s v="Burlington"/>
    <x v="2"/>
    <n v="0.4"/>
    <n v="3000"/>
    <x v="147"/>
    <n v="360"/>
    <n v="0.3"/>
  </r>
  <r>
    <x v="0"/>
    <x v="0"/>
    <x v="125"/>
    <x v="0"/>
    <s v="Vermont"/>
    <s v="Burlington"/>
    <x v="3"/>
    <n v="0.44999999999999996"/>
    <n v="2000"/>
    <x v="546"/>
    <n v="269.99999999999994"/>
    <n v="0.3"/>
  </r>
  <r>
    <x v="0"/>
    <x v="0"/>
    <x v="125"/>
    <x v="0"/>
    <s v="Vermont"/>
    <s v="Burlington"/>
    <x v="4"/>
    <n v="0.60000000000000009"/>
    <n v="2750"/>
    <x v="205"/>
    <n v="495.00000000000006"/>
    <n v="0.3"/>
  </r>
  <r>
    <x v="0"/>
    <x v="0"/>
    <x v="125"/>
    <x v="0"/>
    <s v="Vermont"/>
    <s v="Burlington"/>
    <x v="5"/>
    <n v="0.5"/>
    <n v="3750"/>
    <x v="203"/>
    <n v="656.25"/>
    <n v="0.35"/>
  </r>
  <r>
    <x v="0"/>
    <x v="0"/>
    <x v="126"/>
    <x v="0"/>
    <s v="Vermont"/>
    <s v="Burlington"/>
    <x v="0"/>
    <n v="0.5"/>
    <n v="5700"/>
    <x v="175"/>
    <n v="1140"/>
    <n v="0.4"/>
  </r>
  <r>
    <x v="0"/>
    <x v="0"/>
    <x v="126"/>
    <x v="0"/>
    <s v="Vermont"/>
    <s v="Burlington"/>
    <x v="1"/>
    <n v="0.5"/>
    <n v="2750"/>
    <x v="140"/>
    <n v="550"/>
    <n v="0.4"/>
  </r>
  <r>
    <x v="0"/>
    <x v="0"/>
    <x v="126"/>
    <x v="0"/>
    <s v="Vermont"/>
    <s v="Burlington"/>
    <x v="2"/>
    <n v="0.4"/>
    <n v="3000"/>
    <x v="147"/>
    <n v="360"/>
    <n v="0.3"/>
  </r>
  <r>
    <x v="0"/>
    <x v="0"/>
    <x v="126"/>
    <x v="0"/>
    <s v="Vermont"/>
    <s v="Burlington"/>
    <x v="3"/>
    <n v="0.44999999999999996"/>
    <n v="1500"/>
    <x v="310"/>
    <n v="202.49999999999997"/>
    <n v="0.3"/>
  </r>
  <r>
    <x v="0"/>
    <x v="0"/>
    <x v="126"/>
    <x v="0"/>
    <s v="Vermont"/>
    <s v="Burlington"/>
    <x v="4"/>
    <n v="0.60000000000000009"/>
    <n v="2000"/>
    <x v="200"/>
    <n v="360.00000000000006"/>
    <n v="0.3"/>
  </r>
  <r>
    <x v="0"/>
    <x v="0"/>
    <x v="126"/>
    <x v="0"/>
    <s v="Vermont"/>
    <s v="Burlington"/>
    <x v="5"/>
    <n v="0.5"/>
    <n v="3000"/>
    <x v="146"/>
    <n v="525"/>
    <n v="0.35"/>
  </r>
  <r>
    <x v="0"/>
    <x v="0"/>
    <x v="127"/>
    <x v="0"/>
    <s v="Vermont"/>
    <s v="Burlington"/>
    <x v="0"/>
    <n v="0.5"/>
    <n v="5500"/>
    <x v="80"/>
    <n v="1100"/>
    <n v="0.4"/>
  </r>
  <r>
    <x v="0"/>
    <x v="0"/>
    <x v="127"/>
    <x v="0"/>
    <s v="Vermont"/>
    <s v="Burlington"/>
    <x v="1"/>
    <n v="0.5"/>
    <n v="2500"/>
    <x v="142"/>
    <n v="500"/>
    <n v="0.4"/>
  </r>
  <r>
    <x v="0"/>
    <x v="0"/>
    <x v="127"/>
    <x v="0"/>
    <s v="Vermont"/>
    <s v="Burlington"/>
    <x v="2"/>
    <n v="0.4"/>
    <n v="2500"/>
    <x v="123"/>
    <n v="300"/>
    <n v="0.3"/>
  </r>
  <r>
    <x v="0"/>
    <x v="0"/>
    <x v="127"/>
    <x v="0"/>
    <s v="Vermont"/>
    <s v="Burlington"/>
    <x v="3"/>
    <n v="0.44999999999999996"/>
    <n v="1750"/>
    <x v="474"/>
    <n v="236.24999999999994"/>
    <n v="0.3"/>
  </r>
  <r>
    <x v="0"/>
    <x v="0"/>
    <x v="127"/>
    <x v="0"/>
    <s v="Vermont"/>
    <s v="Burlington"/>
    <x v="4"/>
    <n v="0.60000000000000009"/>
    <n v="1750"/>
    <x v="187"/>
    <n v="315.00000000000006"/>
    <n v="0.3"/>
  </r>
  <r>
    <x v="0"/>
    <x v="0"/>
    <x v="127"/>
    <x v="0"/>
    <s v="Vermont"/>
    <s v="Burlington"/>
    <x v="5"/>
    <n v="0.5"/>
    <n v="3250"/>
    <x v="132"/>
    <n v="568.75"/>
    <n v="0.35"/>
  </r>
  <r>
    <x v="0"/>
    <x v="0"/>
    <x v="128"/>
    <x v="0"/>
    <s v="Vermont"/>
    <s v="Burlington"/>
    <x v="0"/>
    <n v="0.65"/>
    <n v="5950"/>
    <x v="750"/>
    <n v="1547"/>
    <n v="0.4"/>
  </r>
  <r>
    <x v="0"/>
    <x v="0"/>
    <x v="128"/>
    <x v="0"/>
    <s v="Vermont"/>
    <s v="Burlington"/>
    <x v="1"/>
    <n v="0.60000000000000009"/>
    <n v="3000"/>
    <x v="166"/>
    <n v="720.00000000000011"/>
    <n v="0.4"/>
  </r>
  <r>
    <x v="0"/>
    <x v="0"/>
    <x v="128"/>
    <x v="0"/>
    <s v="Vermont"/>
    <s v="Burlington"/>
    <x v="2"/>
    <n v="0.55000000000000004"/>
    <n v="3250"/>
    <x v="255"/>
    <n v="536.25"/>
    <n v="0.3"/>
  </r>
  <r>
    <x v="0"/>
    <x v="0"/>
    <x v="128"/>
    <x v="0"/>
    <s v="Vermont"/>
    <s v="Burlington"/>
    <x v="3"/>
    <n v="0.55000000000000004"/>
    <n v="2750"/>
    <x v="408"/>
    <n v="453.75000000000006"/>
    <n v="0.3"/>
  </r>
  <r>
    <x v="0"/>
    <x v="0"/>
    <x v="128"/>
    <x v="0"/>
    <s v="Vermont"/>
    <s v="Burlington"/>
    <x v="4"/>
    <n v="0.65"/>
    <n v="3000"/>
    <x v="212"/>
    <n v="585"/>
    <n v="0.3"/>
  </r>
  <r>
    <x v="0"/>
    <x v="0"/>
    <x v="128"/>
    <x v="0"/>
    <s v="Vermont"/>
    <s v="Burlington"/>
    <x v="5"/>
    <n v="0.70000000000000007"/>
    <n v="4250"/>
    <x v="253"/>
    <n v="1041.25"/>
    <n v="0.35"/>
  </r>
  <r>
    <x v="0"/>
    <x v="0"/>
    <x v="129"/>
    <x v="0"/>
    <s v="Vermont"/>
    <s v="Burlington"/>
    <x v="0"/>
    <n v="0.65"/>
    <n v="6750"/>
    <x v="83"/>
    <n v="1755"/>
    <n v="0.4"/>
  </r>
  <r>
    <x v="0"/>
    <x v="0"/>
    <x v="129"/>
    <x v="0"/>
    <s v="Vermont"/>
    <s v="Burlington"/>
    <x v="1"/>
    <n v="0.60000000000000009"/>
    <n v="4250"/>
    <x v="227"/>
    <n v="1020.0000000000002"/>
    <n v="0.4"/>
  </r>
  <r>
    <x v="0"/>
    <x v="0"/>
    <x v="129"/>
    <x v="0"/>
    <s v="Vermont"/>
    <s v="Burlington"/>
    <x v="2"/>
    <n v="0.55000000000000004"/>
    <n v="3500"/>
    <x v="136"/>
    <n v="577.5"/>
    <n v="0.3"/>
  </r>
  <r>
    <x v="0"/>
    <x v="0"/>
    <x v="129"/>
    <x v="0"/>
    <s v="Vermont"/>
    <s v="Burlington"/>
    <x v="3"/>
    <n v="0.55000000000000004"/>
    <n v="3250"/>
    <x v="255"/>
    <n v="536.25"/>
    <n v="0.3"/>
  </r>
  <r>
    <x v="0"/>
    <x v="0"/>
    <x v="129"/>
    <x v="0"/>
    <s v="Vermont"/>
    <s v="Burlington"/>
    <x v="4"/>
    <n v="0.65"/>
    <n v="3250"/>
    <x v="238"/>
    <n v="633.75"/>
    <n v="0.3"/>
  </r>
  <r>
    <x v="0"/>
    <x v="0"/>
    <x v="129"/>
    <x v="0"/>
    <s v="Vermont"/>
    <s v="Burlington"/>
    <x v="5"/>
    <n v="0.70000000000000007"/>
    <n v="4750"/>
    <x v="204"/>
    <n v="1163.75"/>
    <n v="0.35"/>
  </r>
  <r>
    <x v="0"/>
    <x v="0"/>
    <x v="130"/>
    <x v="0"/>
    <s v="Vermont"/>
    <s v="Burlington"/>
    <x v="0"/>
    <n v="0.65"/>
    <n v="7000"/>
    <x v="109"/>
    <n v="1820"/>
    <n v="0.4"/>
  </r>
  <r>
    <x v="0"/>
    <x v="0"/>
    <x v="130"/>
    <x v="0"/>
    <s v="Vermont"/>
    <s v="Burlington"/>
    <x v="1"/>
    <n v="0.60000000000000009"/>
    <n v="4500"/>
    <x v="217"/>
    <n v="1080.0000000000002"/>
    <n v="0.4"/>
  </r>
  <r>
    <x v="0"/>
    <x v="0"/>
    <x v="130"/>
    <x v="0"/>
    <s v="Vermont"/>
    <s v="Burlington"/>
    <x v="2"/>
    <n v="0.55000000000000004"/>
    <n v="3750"/>
    <x v="138"/>
    <n v="618.75"/>
    <n v="0.3"/>
  </r>
  <r>
    <x v="0"/>
    <x v="0"/>
    <x v="130"/>
    <x v="0"/>
    <s v="Vermont"/>
    <s v="Burlington"/>
    <x v="3"/>
    <n v="0.55000000000000004"/>
    <n v="3250"/>
    <x v="255"/>
    <n v="536.25"/>
    <n v="0.3"/>
  </r>
  <r>
    <x v="0"/>
    <x v="0"/>
    <x v="130"/>
    <x v="0"/>
    <s v="Vermont"/>
    <s v="Burlington"/>
    <x v="4"/>
    <n v="0.65"/>
    <n v="3500"/>
    <x v="154"/>
    <n v="682.5"/>
    <n v="0.3"/>
  </r>
  <r>
    <x v="0"/>
    <x v="0"/>
    <x v="130"/>
    <x v="0"/>
    <s v="Vermont"/>
    <s v="Burlington"/>
    <x v="5"/>
    <n v="0.70000000000000007"/>
    <n v="5250"/>
    <x v="244"/>
    <n v="1286.25"/>
    <n v="0.35"/>
  </r>
  <r>
    <x v="0"/>
    <x v="0"/>
    <x v="131"/>
    <x v="0"/>
    <s v="Vermont"/>
    <s v="Burlington"/>
    <x v="0"/>
    <n v="0.65"/>
    <n v="6750"/>
    <x v="83"/>
    <n v="1755"/>
    <n v="0.4"/>
  </r>
  <r>
    <x v="0"/>
    <x v="0"/>
    <x v="131"/>
    <x v="0"/>
    <s v="Vermont"/>
    <s v="Burlington"/>
    <x v="1"/>
    <n v="0.60000000000000009"/>
    <n v="4500"/>
    <x v="217"/>
    <n v="1080.0000000000002"/>
    <n v="0.4"/>
  </r>
  <r>
    <x v="0"/>
    <x v="0"/>
    <x v="131"/>
    <x v="0"/>
    <s v="Vermont"/>
    <s v="Burlington"/>
    <x v="2"/>
    <n v="0.55000000000000004"/>
    <n v="3750"/>
    <x v="138"/>
    <n v="618.75"/>
    <n v="0.3"/>
  </r>
  <r>
    <x v="0"/>
    <x v="0"/>
    <x v="131"/>
    <x v="0"/>
    <s v="Vermont"/>
    <s v="Burlington"/>
    <x v="3"/>
    <n v="0.55000000000000004"/>
    <n v="2750"/>
    <x v="408"/>
    <n v="453.75000000000006"/>
    <n v="0.3"/>
  </r>
  <r>
    <x v="0"/>
    <x v="0"/>
    <x v="131"/>
    <x v="0"/>
    <s v="Vermont"/>
    <s v="Burlington"/>
    <x v="4"/>
    <n v="0.65"/>
    <n v="2500"/>
    <x v="132"/>
    <n v="487.5"/>
    <n v="0.3"/>
  </r>
  <r>
    <x v="0"/>
    <x v="0"/>
    <x v="131"/>
    <x v="0"/>
    <s v="Vermont"/>
    <s v="Burlington"/>
    <x v="5"/>
    <n v="0.70000000000000007"/>
    <n v="4250"/>
    <x v="253"/>
    <n v="1041.25"/>
    <n v="0.35"/>
  </r>
  <r>
    <x v="0"/>
    <x v="0"/>
    <x v="132"/>
    <x v="0"/>
    <s v="Vermont"/>
    <s v="Burlington"/>
    <x v="0"/>
    <n v="0.65"/>
    <n v="5500"/>
    <x v="88"/>
    <n v="1430"/>
    <n v="0.4"/>
  </r>
  <r>
    <x v="0"/>
    <x v="0"/>
    <x v="132"/>
    <x v="0"/>
    <s v="Vermont"/>
    <s v="Burlington"/>
    <x v="1"/>
    <n v="0.60000000000000009"/>
    <n v="3500"/>
    <x v="162"/>
    <n v="840.00000000000023"/>
    <n v="0.4"/>
  </r>
  <r>
    <x v="0"/>
    <x v="0"/>
    <x v="132"/>
    <x v="0"/>
    <s v="Vermont"/>
    <s v="Burlington"/>
    <x v="2"/>
    <n v="0.55000000000000004"/>
    <n v="2500"/>
    <x v="140"/>
    <n v="412.5"/>
    <n v="0.3"/>
  </r>
  <r>
    <x v="0"/>
    <x v="0"/>
    <x v="132"/>
    <x v="0"/>
    <s v="Vermont"/>
    <s v="Burlington"/>
    <x v="3"/>
    <n v="0.55000000000000004"/>
    <n v="2250"/>
    <x v="116"/>
    <n v="371.25"/>
    <n v="0.3"/>
  </r>
  <r>
    <x v="0"/>
    <x v="0"/>
    <x v="132"/>
    <x v="0"/>
    <s v="Vermont"/>
    <s v="Burlington"/>
    <x v="4"/>
    <n v="0.65"/>
    <n v="2250"/>
    <x v="334"/>
    <n v="438.75"/>
    <n v="0.3"/>
  </r>
  <r>
    <x v="0"/>
    <x v="0"/>
    <x v="132"/>
    <x v="0"/>
    <s v="Vermont"/>
    <s v="Burlington"/>
    <x v="5"/>
    <n v="0.70000000000000007"/>
    <n v="3250"/>
    <x v="154"/>
    <n v="796.25"/>
    <n v="0.35"/>
  </r>
  <r>
    <x v="0"/>
    <x v="0"/>
    <x v="133"/>
    <x v="0"/>
    <s v="Vermont"/>
    <s v="Burlington"/>
    <x v="0"/>
    <n v="0.70000000000000007"/>
    <n v="4750"/>
    <x v="204"/>
    <n v="1330.0000000000002"/>
    <n v="0.4"/>
  </r>
  <r>
    <x v="0"/>
    <x v="0"/>
    <x v="133"/>
    <x v="0"/>
    <s v="Vermont"/>
    <s v="Burlington"/>
    <x v="1"/>
    <n v="0.65000000000000013"/>
    <n v="3000"/>
    <x v="473"/>
    <n v="780.00000000000023"/>
    <n v="0.4"/>
  </r>
  <r>
    <x v="0"/>
    <x v="0"/>
    <x v="133"/>
    <x v="0"/>
    <s v="Vermont"/>
    <s v="Burlington"/>
    <x v="2"/>
    <n v="0.65000000000000013"/>
    <n v="2000"/>
    <x v="716"/>
    <n v="390.00000000000006"/>
    <n v="0.3"/>
  </r>
  <r>
    <x v="0"/>
    <x v="0"/>
    <x v="133"/>
    <x v="0"/>
    <s v="Vermont"/>
    <s v="Burlington"/>
    <x v="3"/>
    <n v="0.65000000000000013"/>
    <n v="1750"/>
    <x v="507"/>
    <n v="341.25000000000006"/>
    <n v="0.3"/>
  </r>
  <r>
    <x v="0"/>
    <x v="0"/>
    <x v="133"/>
    <x v="0"/>
    <s v="Vermont"/>
    <s v="Burlington"/>
    <x v="4"/>
    <n v="0.75000000000000011"/>
    <n v="1750"/>
    <x v="342"/>
    <n v="393.75000000000006"/>
    <n v="0.3"/>
  </r>
  <r>
    <x v="0"/>
    <x v="0"/>
    <x v="133"/>
    <x v="0"/>
    <s v="Vermont"/>
    <s v="Burlington"/>
    <x v="5"/>
    <n v="0.8"/>
    <n v="3000"/>
    <x v="50"/>
    <n v="840"/>
    <n v="0.35"/>
  </r>
  <r>
    <x v="0"/>
    <x v="0"/>
    <x v="134"/>
    <x v="0"/>
    <s v="Vermont"/>
    <s v="Burlington"/>
    <x v="0"/>
    <n v="0.75000000000000011"/>
    <n v="4500"/>
    <x v="220"/>
    <n v="1350.0000000000002"/>
    <n v="0.4"/>
  </r>
  <r>
    <x v="0"/>
    <x v="0"/>
    <x v="134"/>
    <x v="0"/>
    <s v="Vermont"/>
    <s v="Burlington"/>
    <x v="1"/>
    <n v="0.65000000000000013"/>
    <n v="3250"/>
    <x v="421"/>
    <n v="845.00000000000023"/>
    <n v="0.4"/>
  </r>
  <r>
    <x v="0"/>
    <x v="0"/>
    <x v="134"/>
    <x v="0"/>
    <s v="Vermont"/>
    <s v="Burlington"/>
    <x v="2"/>
    <n v="0.65000000000000013"/>
    <n v="3450"/>
    <x v="751"/>
    <n v="672.75000000000011"/>
    <n v="0.3"/>
  </r>
  <r>
    <x v="0"/>
    <x v="0"/>
    <x v="134"/>
    <x v="0"/>
    <s v="Vermont"/>
    <s v="Burlington"/>
    <x v="3"/>
    <n v="0.65000000000000013"/>
    <n v="3250"/>
    <x v="421"/>
    <n v="633.75000000000011"/>
    <n v="0.3"/>
  </r>
  <r>
    <x v="0"/>
    <x v="0"/>
    <x v="134"/>
    <x v="0"/>
    <s v="Vermont"/>
    <s v="Burlington"/>
    <x v="4"/>
    <n v="0.75000000000000011"/>
    <n v="3000"/>
    <x v="223"/>
    <n v="675.00000000000011"/>
    <n v="0.3"/>
  </r>
  <r>
    <x v="0"/>
    <x v="0"/>
    <x v="134"/>
    <x v="0"/>
    <s v="Vermont"/>
    <s v="Burlington"/>
    <x v="5"/>
    <n v="0.8"/>
    <n v="4000"/>
    <x v="55"/>
    <n v="1120"/>
    <n v="0.35"/>
  </r>
  <r>
    <x v="0"/>
    <x v="0"/>
    <x v="135"/>
    <x v="0"/>
    <s v="Vermont"/>
    <s v="Burlington"/>
    <x v="0"/>
    <n v="0.75000000000000011"/>
    <n v="6250"/>
    <x v="273"/>
    <n v="1875.0000000000005"/>
    <n v="0.4"/>
  </r>
  <r>
    <x v="0"/>
    <x v="0"/>
    <x v="135"/>
    <x v="0"/>
    <s v="Vermont"/>
    <s v="Burlington"/>
    <x v="1"/>
    <n v="0.65000000000000013"/>
    <n v="4250"/>
    <x v="723"/>
    <n v="1105.0000000000002"/>
    <n v="0.4"/>
  </r>
  <r>
    <x v="0"/>
    <x v="0"/>
    <x v="135"/>
    <x v="0"/>
    <s v="Vermont"/>
    <s v="Burlington"/>
    <x v="2"/>
    <n v="0.65000000000000013"/>
    <n v="4000"/>
    <x v="251"/>
    <n v="780.00000000000011"/>
    <n v="0.3"/>
  </r>
  <r>
    <x v="0"/>
    <x v="0"/>
    <x v="135"/>
    <x v="0"/>
    <s v="Vermont"/>
    <s v="Burlington"/>
    <x v="3"/>
    <n v="0.65000000000000013"/>
    <n v="3500"/>
    <x v="597"/>
    <n v="682.50000000000011"/>
    <n v="0.3"/>
  </r>
  <r>
    <x v="0"/>
    <x v="0"/>
    <x v="135"/>
    <x v="0"/>
    <s v="Vermont"/>
    <s v="Burlington"/>
    <x v="4"/>
    <n v="0.75000000000000011"/>
    <n v="3500"/>
    <x v="195"/>
    <n v="787.50000000000011"/>
    <n v="0.3"/>
  </r>
  <r>
    <x v="0"/>
    <x v="0"/>
    <x v="135"/>
    <x v="0"/>
    <s v="Vermont"/>
    <s v="Burlington"/>
    <x v="5"/>
    <n v="0.8"/>
    <n v="4500"/>
    <x v="11"/>
    <n v="1260"/>
    <n v="0.35"/>
  </r>
  <r>
    <x v="0"/>
    <x v="0"/>
    <x v="145"/>
    <x v="0"/>
    <s v="New Hampshire"/>
    <s v="Manchester"/>
    <x v="0"/>
    <n v="0.55000000000000004"/>
    <n v="5000"/>
    <x v="80"/>
    <n v="962.50000000000011"/>
    <n v="0.35000000000000003"/>
  </r>
  <r>
    <x v="0"/>
    <x v="0"/>
    <x v="145"/>
    <x v="0"/>
    <s v="New Hampshire"/>
    <s v="Manchester"/>
    <x v="1"/>
    <n v="0.55000000000000004"/>
    <n v="3000"/>
    <x v="205"/>
    <n v="577.50000000000011"/>
    <n v="0.35000000000000003"/>
  </r>
  <r>
    <x v="0"/>
    <x v="0"/>
    <x v="145"/>
    <x v="0"/>
    <s v="New Hampshire"/>
    <s v="Manchester"/>
    <x v="2"/>
    <n v="0.45"/>
    <n v="3000"/>
    <x v="198"/>
    <n v="337.5"/>
    <n v="0.25"/>
  </r>
  <r>
    <x v="0"/>
    <x v="0"/>
    <x v="145"/>
    <x v="0"/>
    <s v="New Hampshire"/>
    <s v="Manchester"/>
    <x v="3"/>
    <n v="0.49999999999999994"/>
    <n v="1500"/>
    <x v="382"/>
    <n v="187.49999999999997"/>
    <n v="0.25"/>
  </r>
  <r>
    <x v="0"/>
    <x v="0"/>
    <x v="145"/>
    <x v="0"/>
    <s v="New Hampshire"/>
    <s v="Manchester"/>
    <x v="4"/>
    <n v="0.65000000000000013"/>
    <n v="2000"/>
    <x v="716"/>
    <n v="325.00000000000006"/>
    <n v="0.25"/>
  </r>
  <r>
    <x v="0"/>
    <x v="0"/>
    <x v="145"/>
    <x v="0"/>
    <s v="New Hampshire"/>
    <s v="Manchester"/>
    <x v="5"/>
    <n v="0.55000000000000004"/>
    <n v="3000"/>
    <x v="205"/>
    <n v="495.00000000000006"/>
    <n v="0.3"/>
  </r>
  <r>
    <x v="0"/>
    <x v="0"/>
    <x v="216"/>
    <x v="0"/>
    <s v="New Hampshire"/>
    <s v="Manchester"/>
    <x v="0"/>
    <n v="0.55000000000000004"/>
    <n v="5750"/>
    <x v="76"/>
    <n v="1106.8750000000002"/>
    <n v="0.35000000000000003"/>
  </r>
  <r>
    <x v="0"/>
    <x v="0"/>
    <x v="216"/>
    <x v="0"/>
    <s v="New Hampshire"/>
    <s v="Manchester"/>
    <x v="1"/>
    <n v="0.55000000000000004"/>
    <n v="2250"/>
    <x v="116"/>
    <n v="433.12500000000006"/>
    <n v="0.35000000000000003"/>
  </r>
  <r>
    <x v="0"/>
    <x v="0"/>
    <x v="216"/>
    <x v="0"/>
    <s v="New Hampshire"/>
    <s v="Manchester"/>
    <x v="2"/>
    <n v="0.45"/>
    <n v="2750"/>
    <x v="116"/>
    <n v="309.375"/>
    <n v="0.25"/>
  </r>
  <r>
    <x v="0"/>
    <x v="0"/>
    <x v="216"/>
    <x v="0"/>
    <s v="New Hampshire"/>
    <s v="Manchester"/>
    <x v="3"/>
    <n v="0.49999999999999994"/>
    <n v="1750"/>
    <x v="688"/>
    <n v="218.74999999999997"/>
    <n v="0.25"/>
  </r>
  <r>
    <x v="0"/>
    <x v="0"/>
    <x v="216"/>
    <x v="0"/>
    <s v="New Hampshire"/>
    <s v="Manchester"/>
    <x v="4"/>
    <n v="0.65000000000000013"/>
    <n v="2500"/>
    <x v="752"/>
    <n v="406.25000000000006"/>
    <n v="0.25"/>
  </r>
  <r>
    <x v="0"/>
    <x v="0"/>
    <x v="216"/>
    <x v="0"/>
    <s v="New Hampshire"/>
    <s v="Manchester"/>
    <x v="5"/>
    <n v="0.55000000000000004"/>
    <n v="3500"/>
    <x v="136"/>
    <n v="577.5"/>
    <n v="0.3"/>
  </r>
  <r>
    <x v="0"/>
    <x v="0"/>
    <x v="250"/>
    <x v="0"/>
    <s v="New Hampshire"/>
    <s v="Manchester"/>
    <x v="0"/>
    <n v="0.55000000000000004"/>
    <n v="5450"/>
    <x v="753"/>
    <n v="1049.1250000000002"/>
    <n v="0.35000000000000003"/>
  </r>
  <r>
    <x v="0"/>
    <x v="0"/>
    <x v="250"/>
    <x v="0"/>
    <s v="New Hampshire"/>
    <s v="Manchester"/>
    <x v="1"/>
    <n v="0.55000000000000004"/>
    <n v="2500"/>
    <x v="140"/>
    <n v="481.25000000000006"/>
    <n v="0.35000000000000003"/>
  </r>
  <r>
    <x v="0"/>
    <x v="0"/>
    <x v="250"/>
    <x v="0"/>
    <s v="New Hampshire"/>
    <s v="Manchester"/>
    <x v="2"/>
    <n v="0.45"/>
    <n v="2750"/>
    <x v="116"/>
    <n v="309.375"/>
    <n v="0.25"/>
  </r>
  <r>
    <x v="0"/>
    <x v="0"/>
    <x v="250"/>
    <x v="0"/>
    <s v="New Hampshire"/>
    <s v="Manchester"/>
    <x v="3"/>
    <n v="0.49999999999999994"/>
    <n v="1250"/>
    <x v="694"/>
    <n v="156.24999999999997"/>
    <n v="0.25"/>
  </r>
  <r>
    <x v="0"/>
    <x v="0"/>
    <x v="250"/>
    <x v="0"/>
    <s v="New Hampshire"/>
    <s v="Manchester"/>
    <x v="4"/>
    <n v="0.65000000000000013"/>
    <n v="1750"/>
    <x v="507"/>
    <n v="284.37500000000006"/>
    <n v="0.25"/>
  </r>
  <r>
    <x v="0"/>
    <x v="0"/>
    <x v="250"/>
    <x v="0"/>
    <s v="New Hampshire"/>
    <s v="Manchester"/>
    <x v="5"/>
    <n v="0.55000000000000004"/>
    <n v="2750"/>
    <x v="408"/>
    <n v="453.75000000000006"/>
    <n v="0.3"/>
  </r>
  <r>
    <x v="0"/>
    <x v="0"/>
    <x v="251"/>
    <x v="0"/>
    <s v="New Hampshire"/>
    <s v="Manchester"/>
    <x v="0"/>
    <n v="0.55000000000000004"/>
    <n v="5250"/>
    <x v="170"/>
    <n v="1010.6250000000002"/>
    <n v="0.35000000000000003"/>
  </r>
  <r>
    <x v="0"/>
    <x v="0"/>
    <x v="251"/>
    <x v="0"/>
    <s v="New Hampshire"/>
    <s v="Manchester"/>
    <x v="1"/>
    <n v="0.55000000000000004"/>
    <n v="2250"/>
    <x v="116"/>
    <n v="433.12500000000006"/>
    <n v="0.35000000000000003"/>
  </r>
  <r>
    <x v="0"/>
    <x v="0"/>
    <x v="251"/>
    <x v="0"/>
    <s v="New Hampshire"/>
    <s v="Manchester"/>
    <x v="2"/>
    <n v="0.45"/>
    <n v="2250"/>
    <x v="177"/>
    <n v="253.125"/>
    <n v="0.25"/>
  </r>
  <r>
    <x v="0"/>
    <x v="0"/>
    <x v="251"/>
    <x v="0"/>
    <s v="New Hampshire"/>
    <s v="Manchester"/>
    <x v="3"/>
    <n v="0.49999999999999994"/>
    <n v="1500"/>
    <x v="382"/>
    <n v="187.49999999999997"/>
    <n v="0.25"/>
  </r>
  <r>
    <x v="0"/>
    <x v="0"/>
    <x v="251"/>
    <x v="0"/>
    <s v="New Hampshire"/>
    <s v="Manchester"/>
    <x v="4"/>
    <n v="0.60000000000000009"/>
    <n v="1500"/>
    <x v="395"/>
    <n v="225.00000000000003"/>
    <n v="0.25"/>
  </r>
  <r>
    <x v="0"/>
    <x v="0"/>
    <x v="251"/>
    <x v="0"/>
    <s v="New Hampshire"/>
    <s v="Manchester"/>
    <x v="5"/>
    <n v="0.5"/>
    <n v="3000"/>
    <x v="146"/>
    <n v="450"/>
    <n v="0.3"/>
  </r>
  <r>
    <x v="0"/>
    <x v="0"/>
    <x v="252"/>
    <x v="0"/>
    <s v="New Hampshire"/>
    <s v="Manchester"/>
    <x v="0"/>
    <n v="0.65"/>
    <n v="5700"/>
    <x v="754"/>
    <n v="1296.7500000000002"/>
    <n v="0.35000000000000003"/>
  </r>
  <r>
    <x v="0"/>
    <x v="0"/>
    <x v="252"/>
    <x v="0"/>
    <s v="New Hampshire"/>
    <s v="Manchester"/>
    <x v="1"/>
    <n v="0.60000000000000009"/>
    <n v="2750"/>
    <x v="205"/>
    <n v="577.50000000000011"/>
    <n v="0.35000000000000003"/>
  </r>
  <r>
    <x v="0"/>
    <x v="0"/>
    <x v="252"/>
    <x v="0"/>
    <s v="New Hampshire"/>
    <s v="Manchester"/>
    <x v="2"/>
    <n v="0.55000000000000004"/>
    <n v="3000"/>
    <x v="205"/>
    <n v="412.50000000000006"/>
    <n v="0.25"/>
  </r>
  <r>
    <x v="0"/>
    <x v="0"/>
    <x v="252"/>
    <x v="0"/>
    <s v="New Hampshire"/>
    <s v="Manchester"/>
    <x v="3"/>
    <n v="0.55000000000000004"/>
    <n v="2500"/>
    <x v="140"/>
    <n v="343.75"/>
    <n v="0.25"/>
  </r>
  <r>
    <x v="0"/>
    <x v="0"/>
    <x v="252"/>
    <x v="0"/>
    <s v="New Hampshire"/>
    <s v="Manchester"/>
    <x v="4"/>
    <n v="0.65"/>
    <n v="2750"/>
    <x v="736"/>
    <n v="446.875"/>
    <n v="0.25"/>
  </r>
  <r>
    <x v="0"/>
    <x v="0"/>
    <x v="252"/>
    <x v="0"/>
    <s v="New Hampshire"/>
    <s v="Manchester"/>
    <x v="5"/>
    <n v="0.70000000000000007"/>
    <n v="4000"/>
    <x v="219"/>
    <n v="840.00000000000011"/>
    <n v="0.3"/>
  </r>
  <r>
    <x v="0"/>
    <x v="0"/>
    <x v="220"/>
    <x v="0"/>
    <s v="New Hampshire"/>
    <s v="Manchester"/>
    <x v="0"/>
    <n v="0.65"/>
    <n v="6500"/>
    <x v="106"/>
    <n v="1478.7500000000002"/>
    <n v="0.35000000000000003"/>
  </r>
  <r>
    <x v="0"/>
    <x v="0"/>
    <x v="220"/>
    <x v="0"/>
    <s v="New Hampshire"/>
    <s v="Manchester"/>
    <x v="1"/>
    <n v="0.60000000000000009"/>
    <n v="4000"/>
    <x v="218"/>
    <n v="840.00000000000023"/>
    <n v="0.35000000000000003"/>
  </r>
  <r>
    <x v="0"/>
    <x v="0"/>
    <x v="220"/>
    <x v="0"/>
    <s v="New Hampshire"/>
    <s v="Manchester"/>
    <x v="2"/>
    <n v="0.55000000000000004"/>
    <n v="3250"/>
    <x v="255"/>
    <n v="446.87500000000006"/>
    <n v="0.25"/>
  </r>
  <r>
    <x v="0"/>
    <x v="0"/>
    <x v="220"/>
    <x v="0"/>
    <s v="New Hampshire"/>
    <s v="Manchester"/>
    <x v="3"/>
    <n v="0.55000000000000004"/>
    <n v="3000"/>
    <x v="205"/>
    <n v="412.50000000000006"/>
    <n v="0.25"/>
  </r>
  <r>
    <x v="0"/>
    <x v="0"/>
    <x v="220"/>
    <x v="0"/>
    <s v="New Hampshire"/>
    <s v="Manchester"/>
    <x v="4"/>
    <n v="0.65"/>
    <n v="3000"/>
    <x v="212"/>
    <n v="487.5"/>
    <n v="0.25"/>
  </r>
  <r>
    <x v="0"/>
    <x v="0"/>
    <x v="220"/>
    <x v="0"/>
    <s v="New Hampshire"/>
    <s v="Manchester"/>
    <x v="5"/>
    <n v="0.70000000000000007"/>
    <n v="4500"/>
    <x v="254"/>
    <n v="945.00000000000011"/>
    <n v="0.3"/>
  </r>
  <r>
    <x v="0"/>
    <x v="0"/>
    <x v="253"/>
    <x v="0"/>
    <s v="New Hampshire"/>
    <s v="Manchester"/>
    <x v="0"/>
    <n v="0.65"/>
    <n v="6750"/>
    <x v="83"/>
    <n v="1535.6250000000002"/>
    <n v="0.35000000000000003"/>
  </r>
  <r>
    <x v="0"/>
    <x v="0"/>
    <x v="253"/>
    <x v="0"/>
    <s v="New Hampshire"/>
    <s v="Manchester"/>
    <x v="1"/>
    <n v="0.60000000000000009"/>
    <n v="4250"/>
    <x v="227"/>
    <n v="892.50000000000023"/>
    <n v="0.35000000000000003"/>
  </r>
  <r>
    <x v="0"/>
    <x v="0"/>
    <x v="253"/>
    <x v="0"/>
    <s v="New Hampshire"/>
    <s v="Manchester"/>
    <x v="2"/>
    <n v="0.55000000000000004"/>
    <n v="3500"/>
    <x v="136"/>
    <n v="481.25000000000006"/>
    <n v="0.25"/>
  </r>
  <r>
    <x v="0"/>
    <x v="0"/>
    <x v="253"/>
    <x v="0"/>
    <s v="New Hampshire"/>
    <s v="Manchester"/>
    <x v="3"/>
    <n v="0.55000000000000004"/>
    <n v="3000"/>
    <x v="205"/>
    <n v="412.50000000000006"/>
    <n v="0.25"/>
  </r>
  <r>
    <x v="0"/>
    <x v="0"/>
    <x v="253"/>
    <x v="0"/>
    <s v="New Hampshire"/>
    <s v="Manchester"/>
    <x v="4"/>
    <n v="0.65"/>
    <n v="3250"/>
    <x v="238"/>
    <n v="528.125"/>
    <n v="0.25"/>
  </r>
  <r>
    <x v="0"/>
    <x v="0"/>
    <x v="253"/>
    <x v="0"/>
    <s v="New Hampshire"/>
    <s v="Manchester"/>
    <x v="5"/>
    <n v="0.70000000000000007"/>
    <n v="5000"/>
    <x v="248"/>
    <n v="1050"/>
    <n v="0.3"/>
  </r>
  <r>
    <x v="0"/>
    <x v="0"/>
    <x v="254"/>
    <x v="0"/>
    <s v="New Hampshire"/>
    <s v="Manchester"/>
    <x v="0"/>
    <n v="0.65"/>
    <n v="6500"/>
    <x v="106"/>
    <n v="1478.7500000000002"/>
    <n v="0.35000000000000003"/>
  </r>
  <r>
    <x v="0"/>
    <x v="0"/>
    <x v="254"/>
    <x v="0"/>
    <s v="New Hampshire"/>
    <s v="Manchester"/>
    <x v="1"/>
    <n v="0.60000000000000009"/>
    <n v="4250"/>
    <x v="227"/>
    <n v="892.50000000000023"/>
    <n v="0.35000000000000003"/>
  </r>
  <r>
    <x v="0"/>
    <x v="0"/>
    <x v="254"/>
    <x v="0"/>
    <s v="New Hampshire"/>
    <s v="Manchester"/>
    <x v="2"/>
    <n v="0.55000000000000004"/>
    <n v="3500"/>
    <x v="136"/>
    <n v="481.25000000000006"/>
    <n v="0.25"/>
  </r>
  <r>
    <x v="0"/>
    <x v="0"/>
    <x v="254"/>
    <x v="0"/>
    <s v="New Hampshire"/>
    <s v="Manchester"/>
    <x v="3"/>
    <n v="0.55000000000000004"/>
    <n v="2500"/>
    <x v="140"/>
    <n v="343.75"/>
    <n v="0.25"/>
  </r>
  <r>
    <x v="0"/>
    <x v="0"/>
    <x v="254"/>
    <x v="0"/>
    <s v="New Hampshire"/>
    <s v="Manchester"/>
    <x v="4"/>
    <n v="0.65"/>
    <n v="2250"/>
    <x v="334"/>
    <n v="365.625"/>
    <n v="0.25"/>
  </r>
  <r>
    <x v="0"/>
    <x v="0"/>
    <x v="254"/>
    <x v="0"/>
    <s v="New Hampshire"/>
    <s v="Manchester"/>
    <x v="5"/>
    <n v="0.70000000000000007"/>
    <n v="4000"/>
    <x v="219"/>
    <n v="840.00000000000011"/>
    <n v="0.3"/>
  </r>
  <r>
    <x v="0"/>
    <x v="0"/>
    <x v="255"/>
    <x v="0"/>
    <s v="New Hampshire"/>
    <s v="Manchester"/>
    <x v="0"/>
    <n v="0.65"/>
    <n v="5250"/>
    <x v="85"/>
    <n v="1194.375"/>
    <n v="0.35000000000000003"/>
  </r>
  <r>
    <x v="0"/>
    <x v="0"/>
    <x v="255"/>
    <x v="0"/>
    <s v="New Hampshire"/>
    <s v="Manchester"/>
    <x v="1"/>
    <n v="0.60000000000000009"/>
    <n v="3250"/>
    <x v="470"/>
    <n v="682.50000000000011"/>
    <n v="0.35000000000000003"/>
  </r>
  <r>
    <x v="0"/>
    <x v="0"/>
    <x v="255"/>
    <x v="0"/>
    <s v="New Hampshire"/>
    <s v="Manchester"/>
    <x v="2"/>
    <n v="0.55000000000000004"/>
    <n v="2250"/>
    <x v="116"/>
    <n v="309.375"/>
    <n v="0.25"/>
  </r>
  <r>
    <x v="0"/>
    <x v="0"/>
    <x v="255"/>
    <x v="0"/>
    <s v="New Hampshire"/>
    <s v="Manchester"/>
    <x v="3"/>
    <n v="0.55000000000000004"/>
    <n v="2000"/>
    <x v="130"/>
    <n v="275"/>
    <n v="0.25"/>
  </r>
  <r>
    <x v="0"/>
    <x v="0"/>
    <x v="255"/>
    <x v="0"/>
    <s v="New Hampshire"/>
    <s v="Manchester"/>
    <x v="4"/>
    <n v="0.65"/>
    <n v="2000"/>
    <x v="194"/>
    <n v="325"/>
    <n v="0.25"/>
  </r>
  <r>
    <x v="0"/>
    <x v="0"/>
    <x v="255"/>
    <x v="0"/>
    <s v="New Hampshire"/>
    <s v="Manchester"/>
    <x v="5"/>
    <n v="0.70000000000000007"/>
    <n v="3000"/>
    <x v="193"/>
    <n v="630"/>
    <n v="0.3"/>
  </r>
  <r>
    <x v="0"/>
    <x v="0"/>
    <x v="224"/>
    <x v="0"/>
    <s v="New Hampshire"/>
    <s v="Manchester"/>
    <x v="0"/>
    <n v="0.70000000000000007"/>
    <n v="4500"/>
    <x v="254"/>
    <n v="1102.5000000000002"/>
    <n v="0.35000000000000003"/>
  </r>
  <r>
    <x v="0"/>
    <x v="0"/>
    <x v="224"/>
    <x v="0"/>
    <s v="New Hampshire"/>
    <s v="Manchester"/>
    <x v="1"/>
    <n v="0.65000000000000013"/>
    <n v="2750"/>
    <x v="755"/>
    <n v="625.62500000000023"/>
    <n v="0.35000000000000003"/>
  </r>
  <r>
    <x v="0"/>
    <x v="0"/>
    <x v="224"/>
    <x v="0"/>
    <s v="New Hampshire"/>
    <s v="Manchester"/>
    <x v="2"/>
    <n v="0.65000000000000013"/>
    <n v="1750"/>
    <x v="507"/>
    <n v="284.37500000000006"/>
    <n v="0.25"/>
  </r>
  <r>
    <x v="0"/>
    <x v="0"/>
    <x v="224"/>
    <x v="0"/>
    <s v="New Hampshire"/>
    <s v="Manchester"/>
    <x v="3"/>
    <n v="0.65000000000000013"/>
    <n v="1500"/>
    <x v="756"/>
    <n v="243.75000000000006"/>
    <n v="0.25"/>
  </r>
  <r>
    <x v="0"/>
    <x v="0"/>
    <x v="224"/>
    <x v="0"/>
    <s v="New Hampshire"/>
    <s v="Manchester"/>
    <x v="4"/>
    <n v="0.75000000000000011"/>
    <n v="1500"/>
    <x v="133"/>
    <n v="281.25000000000006"/>
    <n v="0.25"/>
  </r>
  <r>
    <x v="0"/>
    <x v="0"/>
    <x v="224"/>
    <x v="0"/>
    <s v="New Hampshire"/>
    <s v="Manchester"/>
    <x v="5"/>
    <n v="0.8"/>
    <n v="2750"/>
    <x v="42"/>
    <n v="660"/>
    <n v="0.3"/>
  </r>
  <r>
    <x v="0"/>
    <x v="0"/>
    <x v="256"/>
    <x v="0"/>
    <s v="New Hampshire"/>
    <s v="Manchester"/>
    <x v="0"/>
    <n v="0.75000000000000011"/>
    <n v="4250"/>
    <x v="260"/>
    <n v="1115.6250000000002"/>
    <n v="0.35000000000000003"/>
  </r>
  <r>
    <x v="0"/>
    <x v="0"/>
    <x v="256"/>
    <x v="0"/>
    <s v="New Hampshire"/>
    <s v="Manchester"/>
    <x v="1"/>
    <n v="0.65000000000000013"/>
    <n v="3000"/>
    <x v="473"/>
    <n v="682.50000000000023"/>
    <n v="0.35000000000000003"/>
  </r>
  <r>
    <x v="0"/>
    <x v="0"/>
    <x v="256"/>
    <x v="0"/>
    <s v="New Hampshire"/>
    <s v="Manchester"/>
    <x v="2"/>
    <n v="0.65000000000000013"/>
    <n v="3200"/>
    <x v="757"/>
    <n v="520.00000000000011"/>
    <n v="0.25"/>
  </r>
  <r>
    <x v="0"/>
    <x v="0"/>
    <x v="256"/>
    <x v="0"/>
    <s v="New Hampshire"/>
    <s v="Manchester"/>
    <x v="3"/>
    <n v="0.65000000000000013"/>
    <n v="3000"/>
    <x v="473"/>
    <n v="487.50000000000011"/>
    <n v="0.25"/>
  </r>
  <r>
    <x v="0"/>
    <x v="0"/>
    <x v="256"/>
    <x v="0"/>
    <s v="New Hampshire"/>
    <s v="Manchester"/>
    <x v="4"/>
    <n v="0.75000000000000011"/>
    <n v="2750"/>
    <x v="655"/>
    <n v="515.62500000000011"/>
    <n v="0.25"/>
  </r>
  <r>
    <x v="0"/>
    <x v="0"/>
    <x v="256"/>
    <x v="0"/>
    <s v="New Hampshire"/>
    <s v="Manchester"/>
    <x v="5"/>
    <n v="0.8"/>
    <n v="3750"/>
    <x v="61"/>
    <n v="900"/>
    <n v="0.3"/>
  </r>
  <r>
    <x v="0"/>
    <x v="0"/>
    <x v="257"/>
    <x v="0"/>
    <s v="New Hampshire"/>
    <s v="Manchester"/>
    <x v="0"/>
    <n v="0.75000000000000011"/>
    <n v="6000"/>
    <x v="276"/>
    <n v="1575.0000000000005"/>
    <n v="0.35000000000000003"/>
  </r>
  <r>
    <x v="0"/>
    <x v="0"/>
    <x v="257"/>
    <x v="0"/>
    <s v="New Hampshire"/>
    <s v="Manchester"/>
    <x v="1"/>
    <n v="0.65000000000000013"/>
    <n v="4000"/>
    <x v="251"/>
    <n v="910.00000000000023"/>
    <n v="0.35000000000000003"/>
  </r>
  <r>
    <x v="0"/>
    <x v="0"/>
    <x v="257"/>
    <x v="0"/>
    <s v="New Hampshire"/>
    <s v="Manchester"/>
    <x v="2"/>
    <n v="0.65000000000000013"/>
    <n v="3750"/>
    <x v="420"/>
    <n v="609.37500000000011"/>
    <n v="0.25"/>
  </r>
  <r>
    <x v="0"/>
    <x v="0"/>
    <x v="257"/>
    <x v="0"/>
    <s v="New Hampshire"/>
    <s v="Manchester"/>
    <x v="3"/>
    <n v="0.65000000000000013"/>
    <n v="3250"/>
    <x v="421"/>
    <n v="528.12500000000011"/>
    <n v="0.25"/>
  </r>
  <r>
    <x v="0"/>
    <x v="0"/>
    <x v="257"/>
    <x v="0"/>
    <s v="New Hampshire"/>
    <s v="Manchester"/>
    <x v="4"/>
    <n v="0.75000000000000011"/>
    <n v="3250"/>
    <x v="420"/>
    <n v="609.37500000000011"/>
    <n v="0.25"/>
  </r>
  <r>
    <x v="0"/>
    <x v="0"/>
    <x v="257"/>
    <x v="0"/>
    <s v="New Hampshire"/>
    <s v="Manchester"/>
    <x v="5"/>
    <n v="0.8"/>
    <n v="4250"/>
    <x v="461"/>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FA9FD-8254-4B93-BFD0-B63089F090F8}"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everage Brand">
  <location ref="C73:D80"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Total Sales" fld="9" showDataAs="percentOfTotal" baseField="6" baseItem="0" numFmtId="10"/>
  </dataFields>
  <formats count="24">
    <format dxfId="210">
      <pivotArea type="all" dataOnly="0" outline="0" fieldPosition="0"/>
    </format>
    <format dxfId="209">
      <pivotArea outline="0" collapsedLevelsAreSubtotals="1" fieldPosition="0"/>
    </format>
    <format dxfId="208">
      <pivotArea field="6" type="button" dataOnly="0" labelOnly="1" outline="0" axis="axisRow" fieldPosition="0"/>
    </format>
    <format dxfId="207">
      <pivotArea dataOnly="0" labelOnly="1" fieldPosition="0">
        <references count="1">
          <reference field="6" count="0"/>
        </references>
      </pivotArea>
    </format>
    <format dxfId="206">
      <pivotArea dataOnly="0" labelOnly="1" grandRow="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field="6" type="button" dataOnly="0" labelOnly="1" outline="0" axis="axisRow" fieldPosition="0"/>
    </format>
    <format dxfId="201">
      <pivotArea dataOnly="0" labelOnly="1" fieldPosition="0">
        <references count="1">
          <reference field="6" count="0"/>
        </references>
      </pivotArea>
    </format>
    <format dxfId="200">
      <pivotArea dataOnly="0" labelOnly="1" grandRow="1" outline="0"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6" type="button" dataOnly="0" labelOnly="1" outline="0" axis="axisRow" fieldPosition="0"/>
    </format>
    <format dxfId="195">
      <pivotArea dataOnly="0" labelOnly="1" fieldPosition="0">
        <references count="1">
          <reference field="6" count="0"/>
        </references>
      </pivotArea>
    </format>
    <format dxfId="194">
      <pivotArea dataOnly="0" labelOnly="1" grandRow="1" outline="0" fieldPosition="0"/>
    </format>
    <format dxfId="193">
      <pivotArea dataOnly="0" labelOnly="1" outline="0" axis="axisValues" fieldPosition="0"/>
    </format>
    <format dxfId="192">
      <pivotArea field="6" type="button" dataOnly="0" labelOnly="1" outline="0" axis="axisRow" fieldPosition="0"/>
    </format>
    <format dxfId="191">
      <pivotArea dataOnly="0" labelOnly="1" outline="0" axis="axisValues" fieldPosition="0"/>
    </format>
    <format dxfId="190">
      <pivotArea collapsedLevelsAreSubtotals="1" fieldPosition="0">
        <references count="1">
          <reference field="6" count="0"/>
        </references>
      </pivotArea>
    </format>
    <format dxfId="189">
      <pivotArea dataOnly="0" labelOnly="1" fieldPosition="0">
        <references count="1">
          <reference field="6" count="0"/>
        </references>
      </pivotArea>
    </format>
    <format dxfId="188">
      <pivotArea grandRow="1" outline="0" collapsedLevelsAreSubtotals="1" fieldPosition="0"/>
    </format>
    <format dxfId="187">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06B59A-D118-41A5-9C76-DCE299BB8E96}"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tailer">
  <location ref="C49:D54" firstHeaderRow="1" firstDataRow="1" firstDataCol="1"/>
  <pivotFields count="14">
    <pivotField axis="axisRow"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5">
    <i>
      <x/>
    </i>
    <i>
      <x v="1"/>
    </i>
    <i>
      <x v="2"/>
    </i>
    <i>
      <x v="3"/>
    </i>
    <i t="grand">
      <x/>
    </i>
  </rowItems>
  <colItems count="1">
    <i/>
  </colItems>
  <dataFields count="1">
    <dataField name="Sum of Total Sales" fld="9" showDataAs="percentOfTotal" baseField="0" baseItem="0" numFmtId="10"/>
  </dataFields>
  <formats count="23">
    <format dxfId="275">
      <pivotArea type="all" dataOnly="0" outline="0" fieldPosition="0"/>
    </format>
    <format dxfId="274">
      <pivotArea outline="0" collapsedLevelsAreSubtotals="1" fieldPosition="0"/>
    </format>
    <format dxfId="273">
      <pivotArea field="0" type="button" dataOnly="0" labelOnly="1" outline="0" axis="axisRow" fieldPosition="0"/>
    </format>
    <format dxfId="272">
      <pivotArea dataOnly="0" labelOnly="1" fieldPosition="0">
        <references count="1">
          <reference field="0" count="0"/>
        </references>
      </pivotArea>
    </format>
    <format dxfId="271">
      <pivotArea dataOnly="0" labelOnly="1" grandRow="1" outline="0" fieldPosition="0"/>
    </format>
    <format dxfId="270">
      <pivotArea dataOnly="0" labelOnly="1" outline="0" axis="axisValues" fieldPosition="0"/>
    </format>
    <format dxfId="269">
      <pivotArea type="all" dataOnly="0" outline="0" fieldPosition="0"/>
    </format>
    <format dxfId="268">
      <pivotArea field="0" type="button" dataOnly="0" labelOnly="1" outline="0" axis="axisRow" fieldPosition="0"/>
    </format>
    <format dxfId="267">
      <pivotArea dataOnly="0" labelOnly="1" fieldPosition="0">
        <references count="1">
          <reference field="0" count="0"/>
        </references>
      </pivotArea>
    </format>
    <format dxfId="266">
      <pivotArea dataOnly="0" labelOnly="1" grandRow="1" outline="0" fieldPosition="0"/>
    </format>
    <format dxfId="265">
      <pivotArea dataOnly="0" labelOnly="1" outline="0" axis="axisValues" fieldPosition="0"/>
    </format>
    <format dxfId="264">
      <pivotArea field="0" type="button" dataOnly="0" labelOnly="1" outline="0" axis="axisRow" fieldPosition="0"/>
    </format>
    <format dxfId="263">
      <pivotArea dataOnly="0" labelOnly="1" outline="0" axis="axisValues" fieldPosition="0"/>
    </format>
    <format dxfId="262">
      <pivotArea grandRow="1" outline="0" collapsedLevelsAreSubtotals="1" fieldPosition="0"/>
    </format>
    <format dxfId="261">
      <pivotArea dataOnly="0" labelOnly="1" grandRow="1" outline="0" fieldPosition="0"/>
    </format>
    <format dxfId="260">
      <pivotArea collapsedLevelsAreSubtotals="1" fieldPosition="0">
        <references count="1">
          <reference field="0" count="0"/>
        </references>
      </pivotArea>
    </format>
    <format dxfId="259">
      <pivotArea dataOnly="0" labelOnly="1" fieldPosition="0">
        <references count="1">
          <reference field="0" count="0"/>
        </references>
      </pivotArea>
    </format>
    <format dxfId="216">
      <pivotArea type="all" dataOnly="0" outline="0" fieldPosition="0"/>
    </format>
    <format dxfId="215">
      <pivotArea outline="0" collapsedLevelsAreSubtotals="1" fieldPosition="0"/>
    </format>
    <format dxfId="214">
      <pivotArea field="0" type="button" dataOnly="0" labelOnly="1" outline="0" axis="axisRow" fieldPosition="0"/>
    </format>
    <format dxfId="213">
      <pivotArea dataOnly="0" labelOnly="1" fieldPosition="0">
        <references count="1">
          <reference field="0" count="0"/>
        </references>
      </pivotArea>
    </format>
    <format dxfId="212">
      <pivotArea dataOnly="0" labelOnly="1" grandRow="1" outline="0" fieldPosition="0"/>
    </format>
    <format dxfId="211">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F84CD-0BD8-405B-8E65-06822ACD434D}"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C27:D33"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 Sales" fld="9" showDataAs="percentOfTotal" baseField="3" baseItem="0" numFmtId="10"/>
  </dataFields>
  <formats count="28">
    <format dxfId="297">
      <pivotArea type="all" dataOnly="0" outline="0" fieldPosition="0"/>
    </format>
    <format dxfId="296">
      <pivotArea outline="0" collapsedLevelsAreSubtotals="1" fieldPosition="0"/>
    </format>
    <format dxfId="295">
      <pivotArea field="3" type="button" dataOnly="0" labelOnly="1" outline="0" axis="axisRow" fieldPosition="0"/>
    </format>
    <format dxfId="294">
      <pivotArea dataOnly="0" labelOnly="1" fieldPosition="0">
        <references count="1">
          <reference field="3" count="0"/>
        </references>
      </pivotArea>
    </format>
    <format dxfId="293">
      <pivotArea dataOnly="0" labelOnly="1" grandRow="1" outline="0" fieldPosition="0"/>
    </format>
    <format dxfId="292">
      <pivotArea dataOnly="0" labelOnly="1" outline="0" axis="axisValues" fieldPosition="0"/>
    </format>
    <format dxfId="291">
      <pivotArea type="all" dataOnly="0" outline="0" fieldPosition="0"/>
    </format>
    <format dxfId="290">
      <pivotArea outline="0" collapsedLevelsAreSubtotals="1" fieldPosition="0"/>
    </format>
    <format dxfId="289">
      <pivotArea field="3" type="button" dataOnly="0" labelOnly="1" outline="0" axis="axisRow" fieldPosition="0"/>
    </format>
    <format dxfId="288">
      <pivotArea dataOnly="0" labelOnly="1" fieldPosition="0">
        <references count="1">
          <reference field="3" count="0"/>
        </references>
      </pivotArea>
    </format>
    <format dxfId="287">
      <pivotArea dataOnly="0" labelOnly="1" grandRow="1" outline="0" fieldPosition="0"/>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field="3" type="button" dataOnly="0" labelOnly="1" outline="0" axis="axisRow" fieldPosition="0"/>
    </format>
    <format dxfId="282">
      <pivotArea dataOnly="0" labelOnly="1" outline="0" axis="axisValues" fieldPosition="0"/>
    </format>
    <format dxfId="281">
      <pivotArea field="3" type="button" dataOnly="0" labelOnly="1" outline="0" axis="axisRow" fieldPosition="0"/>
    </format>
    <format dxfId="280">
      <pivotArea dataOnly="0" labelOnly="1" outline="0" axis="axisValues" fieldPosition="0"/>
    </format>
    <format dxfId="279">
      <pivotArea grandRow="1" outline="0" collapsedLevelsAreSubtotals="1" fieldPosition="0"/>
    </format>
    <format dxfId="278">
      <pivotArea dataOnly="0" labelOnly="1" grandRow="1" outline="0" fieldPosition="0"/>
    </format>
    <format dxfId="277">
      <pivotArea collapsedLevelsAreSubtotals="1" fieldPosition="0">
        <references count="1">
          <reference field="3" count="0"/>
        </references>
      </pivotArea>
    </format>
    <format dxfId="276">
      <pivotArea dataOnly="0" labelOnly="1" fieldPosition="0">
        <references count="1">
          <reference field="3" count="0"/>
        </references>
      </pivotArea>
    </format>
    <format dxfId="222">
      <pivotArea type="all" dataOnly="0" outline="0" fieldPosition="0"/>
    </format>
    <format dxfId="221">
      <pivotArea outline="0" collapsedLevelsAreSubtotals="1" fieldPosition="0"/>
    </format>
    <format dxfId="220">
      <pivotArea field="3" type="button" dataOnly="0" labelOnly="1" outline="0" axis="axisRow" fieldPosition="0"/>
    </format>
    <format dxfId="219">
      <pivotArea dataOnly="0" labelOnly="1" fieldPosition="0">
        <references count="1">
          <reference field="3" count="0"/>
        </references>
      </pivotArea>
    </format>
    <format dxfId="218">
      <pivotArea dataOnly="0" labelOnly="1" grandRow="1" outline="0" fieldPosition="0"/>
    </format>
    <format dxfId="217">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5E477C-241F-4E08-AF57-533F0517362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C5:E18" firstHeaderRow="0" firstDataRow="1" firstDataCol="1"/>
  <pivotFields count="14">
    <pivotField showAll="0"/>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5" showAll="0"/>
    <pivotField dataField="1" numFmtId="3" showAll="0"/>
    <pivotField dataField="1" numFmtId="164" showAll="0">
      <items count="759">
        <item x="363"/>
        <item x="376"/>
        <item x="315"/>
        <item x="368"/>
        <item x="377"/>
        <item x="709"/>
        <item x="184"/>
        <item x="702"/>
        <item x="374"/>
        <item x="360"/>
        <item x="711"/>
        <item x="401"/>
        <item x="704"/>
        <item x="693"/>
        <item x="364"/>
        <item x="678"/>
        <item x="182"/>
        <item x="375"/>
        <item x="312"/>
        <item x="701"/>
        <item x="660"/>
        <item x="369"/>
        <item x="317"/>
        <item x="677"/>
        <item x="327"/>
        <item x="659"/>
        <item x="378"/>
        <item x="662"/>
        <item x="178"/>
        <item x="309"/>
        <item x="323"/>
        <item x="713"/>
        <item x="538"/>
        <item x="328"/>
        <item x="125"/>
        <item x="661"/>
        <item x="682"/>
        <item x="326"/>
        <item x="367"/>
        <item x="685"/>
        <item x="699"/>
        <item x="316"/>
        <item x="372"/>
        <item x="667"/>
        <item x="643"/>
        <item x="122"/>
        <item x="698"/>
        <item x="670"/>
        <item x="319"/>
        <item x="514"/>
        <item x="666"/>
        <item x="686"/>
        <item x="721"/>
        <item x="324"/>
        <item x="620"/>
        <item x="706"/>
        <item x="644"/>
        <item x="185"/>
        <item x="362"/>
        <item x="692"/>
        <item x="675"/>
        <item x="669"/>
        <item x="672"/>
        <item x="529"/>
        <item x="379"/>
        <item x="118"/>
        <item x="366"/>
        <item x="697"/>
        <item x="311"/>
        <item x="314"/>
        <item x="648"/>
        <item x="626"/>
        <item x="189"/>
        <item x="505"/>
        <item x="650"/>
        <item x="180"/>
        <item x="469"/>
        <item x="656"/>
        <item x="653"/>
        <item x="330"/>
        <item x="628"/>
        <item x="128"/>
        <item x="399"/>
        <item x="525"/>
        <item x="641"/>
        <item x="731"/>
        <item x="181"/>
        <item x="673"/>
        <item x="694"/>
        <item x="143"/>
        <item x="472"/>
        <item x="524"/>
        <item x="406"/>
        <item x="521"/>
        <item x="684"/>
        <item x="310"/>
        <item x="321"/>
        <item x="318"/>
        <item x="640"/>
        <item x="179"/>
        <item x="389"/>
        <item x="502"/>
        <item x="541"/>
        <item x="391"/>
        <item x="746"/>
        <item x="135"/>
        <item x="320"/>
        <item x="373"/>
        <item x="668"/>
        <item x="387"/>
        <item x="520"/>
        <item x="515"/>
        <item x="382"/>
        <item x="126"/>
        <item x="398"/>
        <item x="388"/>
        <item x="708"/>
        <item x="696"/>
        <item x="474"/>
        <item x="120"/>
        <item x="121"/>
        <item x="545"/>
        <item x="134"/>
        <item x="527"/>
        <item x="654"/>
        <item x="604"/>
        <item x="190"/>
        <item x="512"/>
        <item x="370"/>
        <item x="540"/>
        <item x="188"/>
        <item x="651"/>
        <item x="501"/>
        <item x="533"/>
        <item x="649"/>
        <item x="714"/>
        <item x="393"/>
        <item x="605"/>
        <item x="688"/>
        <item x="131"/>
        <item x="622"/>
        <item x="504"/>
        <item x="634"/>
        <item x="690"/>
        <item x="546"/>
        <item x="124"/>
        <item x="395"/>
        <item x="710"/>
        <item x="712"/>
        <item x="636"/>
        <item x="523"/>
        <item x="510"/>
        <item x="633"/>
        <item x="700"/>
        <item x="718"/>
        <item x="603"/>
        <item x="703"/>
        <item x="625"/>
        <item x="119"/>
        <item x="117"/>
        <item x="623"/>
        <item x="489"/>
        <item x="145"/>
        <item x="663"/>
        <item x="756"/>
        <item x="683"/>
        <item x="624"/>
        <item x="329"/>
        <item x="619"/>
        <item x="123"/>
        <item x="322"/>
        <item x="532"/>
        <item x="680"/>
        <item x="177"/>
        <item x="471"/>
        <item x="726"/>
        <item x="202"/>
        <item x="187"/>
        <item x="509"/>
        <item x="627"/>
        <item x="536"/>
        <item x="407"/>
        <item x="346"/>
        <item x="676"/>
        <item x="380"/>
        <item x="405"/>
        <item x="130"/>
        <item x="544"/>
        <item x="390"/>
        <item x="486"/>
        <item x="127"/>
        <item x="133"/>
        <item x="531"/>
        <item x="165"/>
        <item x="507"/>
        <item x="658"/>
        <item x="588"/>
        <item x="201"/>
        <item x="637"/>
        <item x="552"/>
        <item x="488"/>
        <item x="535"/>
        <item x="671"/>
        <item x="348"/>
        <item x="147"/>
        <item x="200"/>
        <item x="513"/>
        <item x="263"/>
        <item x="206"/>
        <item x="427"/>
        <item x="116"/>
        <item x="371"/>
        <item x="707"/>
        <item x="589"/>
        <item x="142"/>
        <item x="396"/>
        <item x="613"/>
        <item x="555"/>
        <item x="233"/>
        <item x="164"/>
        <item x="611"/>
        <item x="642"/>
        <item x="730"/>
        <item x="194"/>
        <item x="716"/>
        <item x="386"/>
        <item x="163"/>
        <item x="385"/>
        <item x="342"/>
        <item x="331"/>
        <item x="198"/>
        <item x="139"/>
        <item x="548"/>
        <item x="383"/>
        <item x="695"/>
        <item x="140"/>
        <item x="559"/>
        <item x="652"/>
        <item x="161"/>
        <item x="340"/>
        <item x="159"/>
        <item x="681"/>
        <item x="556"/>
        <item x="341"/>
        <item x="629"/>
        <item x="554"/>
        <item x="345"/>
        <item x="149"/>
        <item x="392"/>
        <item x="199"/>
        <item x="334"/>
        <item x="137"/>
        <item x="571"/>
        <item x="691"/>
        <item x="156"/>
        <item x="343"/>
        <item x="724"/>
        <item x="167"/>
        <item x="146"/>
        <item x="192"/>
        <item x="665"/>
        <item x="409"/>
        <item x="408"/>
        <item x="687"/>
        <item x="727"/>
        <item x="614"/>
        <item x="169"/>
        <item x="384"/>
        <item x="657"/>
        <item x="518"/>
        <item x="151"/>
        <item x="160"/>
        <item x="570"/>
        <item x="543"/>
        <item x="173"/>
        <item x="612"/>
        <item x="497"/>
        <item x="743"/>
        <item x="144"/>
        <item x="132"/>
        <item x="752"/>
        <item x="639"/>
        <item x="333"/>
        <item x="209"/>
        <item x="240"/>
        <item x="205"/>
        <item x="534"/>
        <item x="558"/>
        <item x="155"/>
        <item x="394"/>
        <item x="361"/>
        <item x="325"/>
        <item x="153"/>
        <item x="490"/>
        <item x="344"/>
        <item x="449"/>
        <item x="234"/>
        <item x="722"/>
        <item x="496"/>
        <item x="720"/>
        <item x="574"/>
        <item x="539"/>
        <item x="737"/>
        <item x="508"/>
        <item x="157"/>
        <item x="191"/>
        <item x="482"/>
        <item x="735"/>
        <item x="313"/>
        <item x="410"/>
        <item x="736"/>
        <item x="255"/>
        <item x="755"/>
        <item x="575"/>
        <item x="451"/>
        <item x="207"/>
        <item x="166"/>
        <item x="549"/>
        <item x="647"/>
        <item x="522"/>
        <item x="585"/>
        <item x="560"/>
        <item x="152"/>
        <item x="450"/>
        <item x="537"/>
        <item x="203"/>
        <item x="528"/>
        <item x="347"/>
        <item x="635"/>
        <item x="400"/>
        <item x="365"/>
        <item x="447"/>
        <item x="235"/>
        <item x="511"/>
        <item x="646"/>
        <item x="172"/>
        <item x="557"/>
        <item x="749"/>
        <item x="237"/>
        <item x="136"/>
        <item x="596"/>
        <item x="148"/>
        <item x="212"/>
        <item x="470"/>
        <item x="473"/>
        <item x="689"/>
        <item x="516"/>
        <item x="236"/>
        <item x="47"/>
        <item x="498"/>
        <item x="499"/>
        <item x="526"/>
        <item x="335"/>
        <item x="354"/>
        <item x="595"/>
        <item x="542"/>
        <item x="725"/>
        <item x="158"/>
        <item x="355"/>
        <item x="569"/>
        <item x="210"/>
        <item x="138"/>
        <item x="655"/>
        <item x="740"/>
        <item x="757"/>
        <item x="193"/>
        <item x="162"/>
        <item x="262"/>
        <item x="238"/>
        <item x="421"/>
        <item x="397"/>
        <item x="43"/>
        <item x="564"/>
        <item x="115"/>
        <item x="466"/>
        <item x="503"/>
        <item x="150"/>
        <item x="553"/>
        <item x="732"/>
        <item x="46"/>
        <item x="208"/>
        <item x="42"/>
        <item x="609"/>
        <item x="183"/>
        <item x="751"/>
        <item x="519"/>
        <item x="381"/>
        <item x="39"/>
        <item x="223"/>
        <item x="715"/>
        <item x="154"/>
        <item x="597"/>
        <item x="679"/>
        <item x="336"/>
        <item x="495"/>
        <item x="602"/>
        <item x="168"/>
        <item x="338"/>
        <item x="256"/>
        <item x="621"/>
        <item x="467"/>
        <item x="530"/>
        <item x="728"/>
        <item x="45"/>
        <item x="464"/>
        <item x="739"/>
        <item x="351"/>
        <item x="563"/>
        <item x="664"/>
        <item x="598"/>
        <item x="50"/>
        <item x="218"/>
        <item x="493"/>
        <item x="264"/>
        <item x="239"/>
        <item x="420"/>
        <item x="41"/>
        <item x="196"/>
        <item x="747"/>
        <item x="357"/>
        <item x="111"/>
        <item x="468"/>
        <item x="480"/>
        <item x="506"/>
        <item x="631"/>
        <item x="54"/>
        <item x="457"/>
        <item x="53"/>
        <item x="293"/>
        <item x="141"/>
        <item x="227"/>
        <item x="70"/>
        <item x="339"/>
        <item x="719"/>
        <item x="51"/>
        <item x="251"/>
        <item x="332"/>
        <item x="356"/>
        <item x="729"/>
        <item x="48"/>
        <item x="195"/>
        <item x="645"/>
        <item x="487"/>
        <item x="52"/>
        <item x="217"/>
        <item x="568"/>
        <item x="58"/>
        <item x="289"/>
        <item x="402"/>
        <item x="459"/>
        <item x="359"/>
        <item x="80"/>
        <item x="565"/>
        <item x="587"/>
        <item x="261"/>
        <item x="426"/>
        <item x="723"/>
        <item x="56"/>
        <item x="287"/>
        <item x="59"/>
        <item x="219"/>
        <item x="278"/>
        <item x="67"/>
        <item x="224"/>
        <item x="186"/>
        <item x="175"/>
        <item x="231"/>
        <item x="744"/>
        <item x="79"/>
        <item x="460"/>
        <item x="403"/>
        <item x="170"/>
        <item x="481"/>
        <item x="174"/>
        <item x="610"/>
        <item x="517"/>
        <item x="62"/>
        <item x="250"/>
        <item x="579"/>
        <item x="129"/>
        <item x="44"/>
        <item x="253"/>
        <item x="630"/>
        <item x="741"/>
        <item x="753"/>
        <item x="591"/>
        <item x="61"/>
        <item x="252"/>
        <item x="404"/>
        <item x="446"/>
        <item x="566"/>
        <item x="112"/>
        <item x="578"/>
        <item x="547"/>
        <item x="197"/>
        <item x="422"/>
        <item x="74"/>
        <item x="349"/>
        <item x="705"/>
        <item x="738"/>
        <item x="66"/>
        <item x="456"/>
        <item x="580"/>
        <item x="733"/>
        <item x="40"/>
        <item x="254"/>
        <item x="277"/>
        <item x="745"/>
        <item x="76"/>
        <item x="674"/>
        <item x="260"/>
        <item x="55"/>
        <item x="584"/>
        <item x="82"/>
        <item x="259"/>
        <item x="455"/>
        <item x="615"/>
        <item x="292"/>
        <item x="717"/>
        <item x="462"/>
        <item x="77"/>
        <item x="211"/>
        <item x="221"/>
        <item x="204"/>
        <item x="632"/>
        <item x="73"/>
        <item x="220"/>
        <item x="492"/>
        <item x="461"/>
        <item x="279"/>
        <item x="85"/>
        <item x="586"/>
        <item x="618"/>
        <item x="748"/>
        <item x="742"/>
        <item x="337"/>
        <item x="562"/>
        <item x="425"/>
        <item x="225"/>
        <item x="290"/>
        <item x="49"/>
        <item x="248"/>
        <item x="304"/>
        <item x="214"/>
        <item x="228"/>
        <item x="573"/>
        <item x="734"/>
        <item x="88"/>
        <item x="465"/>
        <item x="222"/>
        <item x="606"/>
        <item x="11"/>
        <item x="215"/>
        <item x="577"/>
        <item x="78"/>
        <item x="303"/>
        <item x="418"/>
        <item x="244"/>
        <item x="57"/>
        <item x="754"/>
        <item x="353"/>
        <item x="8"/>
        <item x="105"/>
        <item x="305"/>
        <item x="90"/>
        <item x="226"/>
        <item x="69"/>
        <item x="232"/>
        <item x="494"/>
        <item x="440"/>
        <item x="7"/>
        <item x="485"/>
        <item x="3"/>
        <item x="281"/>
        <item x="265"/>
        <item x="104"/>
        <item x="419"/>
        <item x="750"/>
        <item x="75"/>
        <item x="306"/>
        <item x="87"/>
        <item x="608"/>
        <item x="216"/>
        <item x="599"/>
        <item x="448"/>
        <item x="638"/>
        <item x="567"/>
        <item x="491"/>
        <item x="352"/>
        <item x="101"/>
        <item x="607"/>
        <item x="2"/>
        <item x="257"/>
        <item x="428"/>
        <item x="243"/>
        <item x="441"/>
        <item x="72"/>
        <item x="229"/>
        <item x="500"/>
        <item x="113"/>
        <item x="280"/>
        <item x="463"/>
        <item x="71"/>
        <item x="302"/>
        <item x="65"/>
        <item x="81"/>
        <item x="249"/>
        <item x="476"/>
        <item x="106"/>
        <item x="561"/>
        <item x="17"/>
        <item x="300"/>
        <item x="590"/>
        <item x="475"/>
        <item x="100"/>
        <item x="60"/>
        <item x="285"/>
        <item x="572"/>
        <item x="275"/>
        <item x="274"/>
        <item x="92"/>
        <item x="454"/>
        <item x="242"/>
        <item x="83"/>
        <item x="230"/>
        <item x="358"/>
        <item x="63"/>
        <item x="284"/>
        <item x="245"/>
        <item x="6"/>
        <item x="276"/>
        <item x="350"/>
        <item x="114"/>
        <item x="109"/>
        <item x="258"/>
        <item x="616"/>
        <item x="291"/>
        <item x="10"/>
        <item x="171"/>
        <item x="458"/>
        <item x="68"/>
        <item x="415"/>
        <item x="273"/>
        <item x="84"/>
        <item x="176"/>
        <item x="444"/>
        <item x="592"/>
        <item x="13"/>
        <item x="452"/>
        <item x="213"/>
        <item x="443"/>
        <item x="30"/>
        <item x="288"/>
        <item x="64"/>
        <item x="483"/>
        <item x="431"/>
        <item x="269"/>
        <item x="430"/>
        <item x="107"/>
        <item x="14"/>
        <item x="301"/>
        <item x="424"/>
        <item x="1"/>
        <item x="93"/>
        <item x="35"/>
        <item x="247"/>
        <item x="411"/>
        <item x="246"/>
        <item x="16"/>
        <item x="12"/>
        <item x="414"/>
        <item x="97"/>
        <item x="37"/>
        <item x="282"/>
        <item x="18"/>
        <item x="103"/>
        <item x="241"/>
        <item x="429"/>
        <item x="34"/>
        <item x="4"/>
        <item x="296"/>
        <item x="102"/>
        <item x="600"/>
        <item x="417"/>
        <item x="286"/>
        <item x="21"/>
        <item x="413"/>
        <item x="25"/>
        <item x="99"/>
        <item x="86"/>
        <item x="110"/>
        <item x="550"/>
        <item x="98"/>
        <item x="484"/>
        <item x="24"/>
        <item x="31"/>
        <item x="268"/>
        <item x="270"/>
        <item x="576"/>
        <item x="299"/>
        <item x="89"/>
        <item x="601"/>
        <item x="38"/>
        <item x="108"/>
        <item x="294"/>
        <item x="445"/>
        <item x="307"/>
        <item x="423"/>
        <item x="0"/>
        <item x="272"/>
        <item x="453"/>
        <item x="9"/>
        <item x="308"/>
        <item x="593"/>
        <item x="91"/>
        <item x="436"/>
        <item x="581"/>
        <item x="617"/>
        <item x="94"/>
        <item x="5"/>
        <item x="479"/>
        <item x="95"/>
        <item x="416"/>
        <item x="283"/>
        <item x="412"/>
        <item x="551"/>
        <item x="295"/>
        <item x="96"/>
        <item x="19"/>
        <item x="583"/>
        <item x="271"/>
        <item x="267"/>
        <item x="435"/>
        <item x="594"/>
        <item x="266"/>
        <item x="442"/>
        <item x="22"/>
        <item x="297"/>
        <item x="27"/>
        <item x="32"/>
        <item x="439"/>
        <item x="434"/>
        <item x="26"/>
        <item x="437"/>
        <item x="28"/>
        <item x="478"/>
        <item x="298"/>
        <item x="15"/>
        <item x="477"/>
        <item x="33"/>
        <item x="20"/>
        <item x="582"/>
        <item x="29"/>
        <item x="23"/>
        <item x="36"/>
        <item x="438"/>
        <item x="433"/>
        <item x="432"/>
        <item t="default"/>
      </items>
    </pivotField>
    <pivotField numFmtId="164"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3"/>
    <field x="12"/>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9" baseField="0" baseItem="0" numFmtId="164"/>
    <dataField name="Sum of Units Sold" fld="8" baseField="0" baseItem="0" numFmtId="3"/>
  </dataFields>
  <formats count="25">
    <format dxfId="316">
      <pivotArea type="all" dataOnly="0" outline="0" fieldPosition="0"/>
    </format>
    <format dxfId="315">
      <pivotArea outline="0" collapsedLevelsAreSubtotals="1" fieldPosition="0"/>
    </format>
    <format dxfId="314">
      <pivotArea field="13" type="button" dataOnly="0" labelOnly="1" outline="0" axis="axisRow" fieldPosition="0"/>
    </format>
    <format dxfId="313">
      <pivotArea dataOnly="0" labelOnly="1" fieldPosition="0">
        <references count="1">
          <reference field="13" count="12">
            <x v="1"/>
            <x v="2"/>
            <x v="3"/>
            <x v="4"/>
            <x v="5"/>
            <x v="6"/>
            <x v="7"/>
            <x v="8"/>
            <x v="9"/>
            <x v="10"/>
            <x v="11"/>
            <x v="12"/>
          </reference>
        </references>
      </pivotArea>
    </format>
    <format dxfId="312">
      <pivotArea dataOnly="0" labelOnly="1" grandRow="1" outline="0" fieldPosition="0"/>
    </format>
    <format dxfId="311">
      <pivotArea dataOnly="0" labelOnly="1" outline="0" fieldPosition="0">
        <references count="1">
          <reference field="4294967294" count="2">
            <x v="0"/>
            <x v="1"/>
          </reference>
        </references>
      </pivotArea>
    </format>
    <format dxfId="310">
      <pivotArea type="all" dataOnly="0" outline="0" fieldPosition="0"/>
    </format>
    <format dxfId="309">
      <pivotArea outline="0" collapsedLevelsAreSubtotals="1" fieldPosition="0"/>
    </format>
    <format dxfId="308">
      <pivotArea field="13" type="button" dataOnly="0" labelOnly="1" outline="0" axis="axisRow" fieldPosition="0"/>
    </format>
    <format dxfId="307">
      <pivotArea dataOnly="0" labelOnly="1" fieldPosition="0">
        <references count="1">
          <reference field="13" count="12">
            <x v="1"/>
            <x v="2"/>
            <x v="3"/>
            <x v="4"/>
            <x v="5"/>
            <x v="6"/>
            <x v="7"/>
            <x v="8"/>
            <x v="9"/>
            <x v="10"/>
            <x v="11"/>
            <x v="12"/>
          </reference>
        </references>
      </pivotArea>
    </format>
    <format dxfId="306">
      <pivotArea dataOnly="0" labelOnly="1" grandRow="1" outline="0" fieldPosition="0"/>
    </format>
    <format dxfId="305">
      <pivotArea dataOnly="0" labelOnly="1" outline="0" fieldPosition="0">
        <references count="1">
          <reference field="4294967294" count="2">
            <x v="0"/>
            <x v="1"/>
          </reference>
        </references>
      </pivotArea>
    </format>
    <format dxfId="304">
      <pivotArea type="all" dataOnly="0" outline="0" fieldPosition="0"/>
    </format>
    <format dxfId="303">
      <pivotArea outline="0" collapsedLevelsAreSubtotals="1" fieldPosition="0"/>
    </format>
    <format dxfId="302">
      <pivotArea dataOnly="0" labelOnly="1" fieldPosition="0">
        <references count="1">
          <reference field="13" count="12">
            <x v="1"/>
            <x v="2"/>
            <x v="3"/>
            <x v="4"/>
            <x v="5"/>
            <x v="6"/>
            <x v="7"/>
            <x v="8"/>
            <x v="9"/>
            <x v="10"/>
            <x v="11"/>
            <x v="12"/>
          </reference>
        </references>
      </pivotArea>
    </format>
    <format dxfId="301">
      <pivotArea field="13" type="button" dataOnly="0" labelOnly="1" outline="0" axis="axisRow" fieldPosition="0"/>
    </format>
    <format dxfId="300">
      <pivotArea dataOnly="0" labelOnly="1" outline="0" fieldPosition="0">
        <references count="1">
          <reference field="4294967294" count="2">
            <x v="0"/>
            <x v="1"/>
          </reference>
        </references>
      </pivotArea>
    </format>
    <format dxfId="299">
      <pivotArea grandRow="1" outline="0" collapsedLevelsAreSubtotals="1" fieldPosition="0"/>
    </format>
    <format dxfId="298">
      <pivotArea dataOnly="0" labelOnly="1" grandRow="1" outline="0" fieldPosition="0"/>
    </format>
    <format dxfId="228">
      <pivotArea type="all" dataOnly="0" outline="0" fieldPosition="0"/>
    </format>
    <format dxfId="227">
      <pivotArea outline="0" collapsedLevelsAreSubtotals="1" fieldPosition="0"/>
    </format>
    <format dxfId="226">
      <pivotArea field="13" type="button" dataOnly="0" labelOnly="1" outline="0" axis="axisRow" fieldPosition="0"/>
    </format>
    <format dxfId="225">
      <pivotArea dataOnly="0" labelOnly="1" fieldPosition="0">
        <references count="1">
          <reference field="13" count="12">
            <x v="1"/>
            <x v="2"/>
            <x v="3"/>
            <x v="4"/>
            <x v="5"/>
            <x v="6"/>
            <x v="7"/>
            <x v="8"/>
            <x v="9"/>
            <x v="10"/>
            <x v="11"/>
            <x v="12"/>
          </reference>
        </references>
      </pivotArea>
    </format>
    <format dxfId="224">
      <pivotArea dataOnly="0" labelOnly="1" grandRow="1" outline="0" fieldPosition="0"/>
    </format>
    <format dxfId="223">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CC3439-1733-4457-B9A1-9D1497C7CB73}"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29:H136" firstHeaderRow="1" firstDataRow="2" firstDataCol="1"/>
  <pivotFields count="14">
    <pivotField axis="axisCol" showAll="0">
      <items count="5">
        <item x="1"/>
        <item x="3"/>
        <item x="2"/>
        <item x="0"/>
        <item t="default"/>
      </items>
    </pivotField>
    <pivotField showAll="0">
      <items count="5">
        <item x="2"/>
        <item x="0"/>
        <item x="3"/>
        <item x="1"/>
        <item t="default"/>
      </items>
    </pivotField>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0"/>
  </colFields>
  <colItems count="5">
    <i>
      <x/>
    </i>
    <i>
      <x v="1"/>
    </i>
    <i>
      <x v="2"/>
    </i>
    <i>
      <x v="3"/>
    </i>
    <i t="grand">
      <x/>
    </i>
  </colItems>
  <dataFields count="1">
    <dataField name="Sum of Total Sales" fld="9" baseField="0" baseItem="0" numFmtId="164"/>
  </dataFields>
  <formats count="31">
    <format dxfId="99">
      <pivotArea type="all" dataOnly="0" outline="0" fieldPosition="0"/>
    </format>
    <format dxfId="98">
      <pivotArea outline="0" collapsedLevelsAreSubtotals="1" fieldPosition="0"/>
    </format>
    <format dxfId="97">
      <pivotArea type="origin" dataOnly="0" labelOnly="1" outline="0" fieldPosition="0"/>
    </format>
    <format dxfId="96">
      <pivotArea field="0" type="button" dataOnly="0" labelOnly="1" outline="0" axis="axisCol" fieldPosition="0"/>
    </format>
    <format dxfId="95">
      <pivotArea type="topRight" dataOnly="0" labelOnly="1" outline="0" fieldPosition="0"/>
    </format>
    <format dxfId="94">
      <pivotArea field="3" type="button" dataOnly="0" labelOnly="1" outline="0" axis="axisRow" fieldPosition="0"/>
    </format>
    <format dxfId="93">
      <pivotArea dataOnly="0" labelOnly="1" fieldPosition="0">
        <references count="1">
          <reference field="3" count="0"/>
        </references>
      </pivotArea>
    </format>
    <format dxfId="92">
      <pivotArea dataOnly="0" labelOnly="1" grandRow="1" outline="0" fieldPosition="0"/>
    </format>
    <format dxfId="91">
      <pivotArea dataOnly="0" labelOnly="1" fieldPosition="0">
        <references count="1">
          <reference field="0" count="0"/>
        </references>
      </pivotArea>
    </format>
    <format dxfId="90">
      <pivotArea dataOnly="0" labelOnly="1" grandCol="1" outline="0"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0" type="button" dataOnly="0" labelOnly="1" outline="0" axis="axisCol" fieldPosition="0"/>
    </format>
    <format dxfId="85">
      <pivotArea type="topRight" dataOnly="0" labelOnly="1" outline="0"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grandRow="1" outline="0" fieldPosition="0"/>
    </format>
    <format dxfId="81">
      <pivotArea dataOnly="0" labelOnly="1" fieldPosition="0">
        <references count="1">
          <reference field="0" count="0"/>
        </references>
      </pivotArea>
    </format>
    <format dxfId="80">
      <pivotArea dataOnly="0" labelOnly="1" grandCol="1" outline="0" fieldPosition="0"/>
    </format>
    <format dxfId="79">
      <pivotArea type="all" dataOnly="0" outline="0" fieldPosition="0"/>
    </format>
    <format dxfId="78">
      <pivotArea type="origin" dataOnly="0" labelOnly="1" outline="0" fieldPosition="0"/>
    </format>
    <format dxfId="77">
      <pivotArea field="0" type="button" dataOnly="0" labelOnly="1" outline="0" axis="axisCol" fieldPosition="0"/>
    </format>
    <format dxfId="76">
      <pivotArea type="topRight" dataOnly="0" labelOnly="1" outline="0" fieldPosition="0"/>
    </format>
    <format dxfId="75">
      <pivotArea field="3" type="button" dataOnly="0" labelOnly="1" outline="0" axis="axisRow" fieldPosition="0"/>
    </format>
    <format dxfId="74">
      <pivotArea dataOnly="0" labelOnly="1" fieldPosition="0">
        <references count="1">
          <reference field="0" count="0"/>
        </references>
      </pivotArea>
    </format>
    <format dxfId="73">
      <pivotArea dataOnly="0" labelOnly="1" grandCol="1" outline="0" fieldPosition="0"/>
    </format>
    <format dxfId="72">
      <pivotArea grandRow="1" outline="0" collapsedLevelsAreSubtotals="1" fieldPosition="0"/>
    </format>
    <format dxfId="71">
      <pivotArea dataOnly="0" labelOnly="1" grandRow="1" outline="0" fieldPosition="0"/>
    </format>
    <format dxfId="70">
      <pivotArea collapsedLevelsAreSubtotals="1" fieldPosition="0">
        <references count="1">
          <reference field="3" count="0"/>
        </references>
      </pivotArea>
    </format>
    <format dxfId="69">
      <pivotArea dataOnly="0" labelOnly="1" fieldPosition="0">
        <references count="1">
          <reference field="3" count="0"/>
        </references>
      </pivotArea>
    </format>
  </formats>
  <chartFormats count="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254502-63C2-4876-B82B-6C6A522A42E0}"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97:J104" firstHeaderRow="1" firstDataRow="2"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Sum of Total Sales" fld="9" baseField="0" baseItem="0" numFmtId="164"/>
  </dataFields>
  <formats count="31">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6" type="button" dataOnly="0" labelOnly="1" outline="0" axis="axisCol" fieldPosition="0"/>
    </format>
    <format dxfId="126">
      <pivotArea type="topRight" dataOnly="0" labelOnly="1" outline="0" fieldPosition="0"/>
    </format>
    <format dxfId="125">
      <pivotArea field="3" type="button" dataOnly="0" labelOnly="1" outline="0" axis="axisRow" fieldPosition="0"/>
    </format>
    <format dxfId="124">
      <pivotArea dataOnly="0" labelOnly="1" fieldPosition="0">
        <references count="1">
          <reference field="3" count="0"/>
        </references>
      </pivotArea>
    </format>
    <format dxfId="123">
      <pivotArea dataOnly="0" labelOnly="1" grandRow="1" outline="0" fieldPosition="0"/>
    </format>
    <format dxfId="122">
      <pivotArea dataOnly="0" labelOnly="1" fieldPosition="0">
        <references count="1">
          <reference field="6" count="0"/>
        </references>
      </pivotArea>
    </format>
    <format dxfId="121">
      <pivotArea dataOnly="0" labelOnly="1" grandCol="1" outline="0" fieldPosition="0"/>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6" type="button" dataOnly="0" labelOnly="1" outline="0" axis="axisCol" fieldPosition="0"/>
    </format>
    <format dxfId="116">
      <pivotArea type="topRight" dataOnly="0" labelOnly="1" outline="0" fieldPosition="0"/>
    </format>
    <format dxfId="115">
      <pivotArea field="3" type="button" dataOnly="0" labelOnly="1" outline="0" axis="axisRow" fieldPosition="0"/>
    </format>
    <format dxfId="114">
      <pivotArea dataOnly="0" labelOnly="1" fieldPosition="0">
        <references count="1">
          <reference field="3" count="0"/>
        </references>
      </pivotArea>
    </format>
    <format dxfId="113">
      <pivotArea dataOnly="0" labelOnly="1" grandRow="1" outline="0" fieldPosition="0"/>
    </format>
    <format dxfId="112">
      <pivotArea dataOnly="0" labelOnly="1" fieldPosition="0">
        <references count="1">
          <reference field="6" count="0"/>
        </references>
      </pivotArea>
    </format>
    <format dxfId="111">
      <pivotArea dataOnly="0" labelOnly="1" grandCol="1" outline="0" fieldPosition="0"/>
    </format>
    <format dxfId="110">
      <pivotArea type="all" dataOnly="0" outline="0" fieldPosition="0"/>
    </format>
    <format dxfId="109">
      <pivotArea collapsedLevelsAreSubtotals="1" fieldPosition="0">
        <references count="1">
          <reference field="3" count="0"/>
        </references>
      </pivotArea>
    </format>
    <format dxfId="108">
      <pivotArea dataOnly="0" labelOnly="1" fieldPosition="0">
        <references count="1">
          <reference field="3" count="0"/>
        </references>
      </pivotArea>
    </format>
    <format dxfId="107">
      <pivotArea type="origin" dataOnly="0" labelOnly="1" outline="0" fieldPosition="0"/>
    </format>
    <format dxfId="106">
      <pivotArea field="6" type="button" dataOnly="0" labelOnly="1" outline="0" axis="axisCol" fieldPosition="0"/>
    </format>
    <format dxfId="105">
      <pivotArea type="topRight" dataOnly="0" labelOnly="1" outline="0" fieldPosition="0"/>
    </format>
    <format dxfId="104">
      <pivotArea field="3" type="button" dataOnly="0" labelOnly="1" outline="0" axis="axisRow" fieldPosition="0"/>
    </format>
    <format dxfId="103">
      <pivotArea dataOnly="0" labelOnly="1" fieldPosition="0">
        <references count="1">
          <reference field="6" count="0"/>
        </references>
      </pivotArea>
    </format>
    <format dxfId="102">
      <pivotArea dataOnly="0" labelOnly="1" grandCol="1" outline="0" fieldPosition="0"/>
    </format>
    <format dxfId="101">
      <pivotArea grandRow="1" outline="0" collapsedLevelsAreSubtotals="1" fieldPosition="0"/>
    </format>
    <format dxfId="100">
      <pivotArea dataOnly="0" labelOnly="1" grandRow="1" outline="0" fieldPosition="0"/>
    </format>
  </formats>
  <chartFormats count="6">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3"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C557EA-C9E6-4377-8615-92CE9249EAD7}"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64:H78" firstHeaderRow="1" firstDataRow="2" firstDataCol="1"/>
  <pivotFields count="14">
    <pivotField axis="axisCol"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Fields count="1">
    <field x="0"/>
  </colFields>
  <colItems count="5">
    <i>
      <x/>
    </i>
    <i>
      <x v="1"/>
    </i>
    <i>
      <x v="2"/>
    </i>
    <i>
      <x v="3"/>
    </i>
    <i t="grand">
      <x/>
    </i>
  </colItems>
  <dataFields count="1">
    <dataField name="Sum of Total Sales" fld="9" baseField="0" baseItem="0" numFmtId="164"/>
  </dataFields>
  <formats count="23">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0" type="button" dataOnly="0" labelOnly="1" outline="0" axis="axisCol" fieldPosition="0"/>
    </format>
    <format dxfId="149">
      <pivotArea type="topRight" dataOnly="0" labelOnly="1" outline="0" fieldPosition="0"/>
    </format>
    <format dxfId="148">
      <pivotArea field="13" type="button" dataOnly="0" labelOnly="1" outline="0" axis="axisRow" fieldPosition="0"/>
    </format>
    <format dxfId="147">
      <pivotArea dataOnly="0" labelOnly="1" fieldPosition="0">
        <references count="1">
          <reference field="13" count="12">
            <x v="1"/>
            <x v="2"/>
            <x v="3"/>
            <x v="4"/>
            <x v="5"/>
            <x v="6"/>
            <x v="7"/>
            <x v="8"/>
            <x v="9"/>
            <x v="10"/>
            <x v="11"/>
            <x v="12"/>
          </reference>
        </references>
      </pivotArea>
    </format>
    <format dxfId="146">
      <pivotArea dataOnly="0" labelOnly="1" grandRow="1" outline="0" fieldPosition="0"/>
    </format>
    <format dxfId="145">
      <pivotArea dataOnly="0" labelOnly="1" fieldPosition="0">
        <references count="1">
          <reference field="0" count="0"/>
        </references>
      </pivotArea>
    </format>
    <format dxfId="144">
      <pivotArea dataOnly="0" labelOnly="1" grandCol="1" outline="0" fieldPosition="0"/>
    </format>
    <format dxfId="143">
      <pivotArea type="all" dataOnly="0" outline="0" fieldPosition="0"/>
    </format>
    <format dxfId="142">
      <pivotArea outline="0" collapsedLevelsAreSubtotals="1" fieldPosition="0"/>
    </format>
    <format dxfId="141">
      <pivotArea type="all" dataOnly="0" outline="0" fieldPosition="0"/>
    </format>
    <format dxfId="140">
      <pivotArea collapsedLevelsAreSubtotals="1" fieldPosition="0">
        <references count="1">
          <reference field="13" count="12">
            <x v="1"/>
            <x v="2"/>
            <x v="3"/>
            <x v="4"/>
            <x v="5"/>
            <x v="6"/>
            <x v="7"/>
            <x v="8"/>
            <x v="9"/>
            <x v="10"/>
            <x v="11"/>
            <x v="12"/>
          </reference>
        </references>
      </pivotArea>
    </format>
    <format dxfId="139">
      <pivotArea dataOnly="0" labelOnly="1" fieldPosition="0">
        <references count="1">
          <reference field="13" count="12">
            <x v="1"/>
            <x v="2"/>
            <x v="3"/>
            <x v="4"/>
            <x v="5"/>
            <x v="6"/>
            <x v="7"/>
            <x v="8"/>
            <x v="9"/>
            <x v="10"/>
            <x v="11"/>
            <x v="12"/>
          </reference>
        </references>
      </pivotArea>
    </format>
    <format dxfId="138">
      <pivotArea type="origin" dataOnly="0" labelOnly="1" outline="0" fieldPosition="0"/>
    </format>
    <format dxfId="137">
      <pivotArea field="0" type="button" dataOnly="0" labelOnly="1" outline="0" axis="axisCol" fieldPosition="0"/>
    </format>
    <format dxfId="136">
      <pivotArea type="topRight" dataOnly="0" labelOnly="1" outline="0" fieldPosition="0"/>
    </format>
    <format dxfId="135">
      <pivotArea field="13" type="button" dataOnly="0" labelOnly="1" outline="0" axis="axisRow" fieldPosition="0"/>
    </format>
    <format dxfId="134">
      <pivotArea dataOnly="0" labelOnly="1" fieldPosition="0">
        <references count="1">
          <reference field="0" count="0"/>
        </references>
      </pivotArea>
    </format>
    <format dxfId="133">
      <pivotArea dataOnly="0" labelOnly="1" grandCol="1" outline="0" fieldPosition="0"/>
    </format>
    <format dxfId="132">
      <pivotArea grandRow="1" outline="0" collapsedLevelsAreSubtotals="1" fieldPosition="0"/>
    </format>
    <format dxfId="131">
      <pivotArea dataOnly="0" labelOnly="1" grandRow="1" outline="0" fieldPosition="0"/>
    </format>
  </formats>
  <chartFormats count="4">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8607F8-2289-462E-AA93-1CB69694115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colHeaderCaption="Region">
  <location ref="C35:I49" firstHeaderRow="1" firstDataRow="2"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Col"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Fields count="1">
    <field x="3"/>
  </colFields>
  <colItems count="6">
    <i>
      <x/>
    </i>
    <i>
      <x v="1"/>
    </i>
    <i>
      <x v="2"/>
    </i>
    <i>
      <x v="3"/>
    </i>
    <i>
      <x v="4"/>
    </i>
    <i t="grand">
      <x/>
    </i>
  </colItems>
  <dataFields count="1">
    <dataField name="Sum of Total Sales" fld="9" baseField="0" baseItem="0" numFmtId="164"/>
  </dataFields>
  <formats count="23">
    <format dxfId="176">
      <pivotArea type="all" dataOnly="0" outline="0" fieldPosition="0"/>
    </format>
    <format dxfId="175">
      <pivotArea outline="0" collapsedLevelsAreSubtotals="1" fieldPosition="0"/>
    </format>
    <format dxfId="174">
      <pivotArea type="origin" dataOnly="0" labelOnly="1" outline="0" fieldPosition="0"/>
    </format>
    <format dxfId="173">
      <pivotArea field="3" type="button" dataOnly="0" labelOnly="1" outline="0" axis="axisCol" fieldPosition="0"/>
    </format>
    <format dxfId="172">
      <pivotArea type="topRight" dataOnly="0" labelOnly="1" outline="0" fieldPosition="0"/>
    </format>
    <format dxfId="171">
      <pivotArea field="13" type="button" dataOnly="0" labelOnly="1" outline="0" axis="axisRow" fieldPosition="0"/>
    </format>
    <format dxfId="170">
      <pivotArea dataOnly="0" labelOnly="1" fieldPosition="0">
        <references count="1">
          <reference field="13" count="12">
            <x v="1"/>
            <x v="2"/>
            <x v="3"/>
            <x v="4"/>
            <x v="5"/>
            <x v="6"/>
            <x v="7"/>
            <x v="8"/>
            <x v="9"/>
            <x v="10"/>
            <x v="11"/>
            <x v="12"/>
          </reference>
        </references>
      </pivotArea>
    </format>
    <format dxfId="169">
      <pivotArea dataOnly="0" labelOnly="1" grandRow="1" outline="0" fieldPosition="0"/>
    </format>
    <format dxfId="168">
      <pivotArea dataOnly="0" labelOnly="1" fieldPosition="0">
        <references count="1">
          <reference field="3" count="0"/>
        </references>
      </pivotArea>
    </format>
    <format dxfId="167">
      <pivotArea dataOnly="0" labelOnly="1" grandCol="1" outline="0" fieldPosition="0"/>
    </format>
    <format dxfId="166">
      <pivotArea type="all" dataOnly="0" outline="0" fieldPosition="0"/>
    </format>
    <format dxfId="165">
      <pivotArea outline="0" collapsedLevelsAreSubtotals="1" fieldPosition="0"/>
    </format>
    <format dxfId="164">
      <pivotArea type="all" dataOnly="0" outline="0" fieldPosition="0"/>
    </format>
    <format dxfId="163">
      <pivotArea type="origin" dataOnly="0" labelOnly="1" outline="0" fieldPosition="0"/>
    </format>
    <format dxfId="162">
      <pivotArea field="3" type="button" dataOnly="0" labelOnly="1" outline="0" axis="axisCol" fieldPosition="0"/>
    </format>
    <format dxfId="161">
      <pivotArea type="topRight" dataOnly="0" labelOnly="1" outline="0" fieldPosition="0"/>
    </format>
    <format dxfId="160">
      <pivotArea field="13" type="button" dataOnly="0" labelOnly="1" outline="0" axis="axisRow" fieldPosition="0"/>
    </format>
    <format dxfId="159">
      <pivotArea dataOnly="0" labelOnly="1" fieldPosition="0">
        <references count="1">
          <reference field="3" count="0"/>
        </references>
      </pivotArea>
    </format>
    <format dxfId="158">
      <pivotArea dataOnly="0" labelOnly="1" grandCol="1" outline="0" fieldPosition="0"/>
    </format>
    <format dxfId="157">
      <pivotArea collapsedLevelsAreSubtotals="1" fieldPosition="0">
        <references count="1">
          <reference field="13" count="12">
            <x v="1"/>
            <x v="2"/>
            <x v="3"/>
            <x v="4"/>
            <x v="5"/>
            <x v="6"/>
            <x v="7"/>
            <x v="8"/>
            <x v="9"/>
            <x v="10"/>
            <x v="11"/>
            <x v="12"/>
          </reference>
        </references>
      </pivotArea>
    </format>
    <format dxfId="156">
      <pivotArea dataOnly="0" labelOnly="1" fieldPosition="0">
        <references count="1">
          <reference field="13" count="12">
            <x v="1"/>
            <x v="2"/>
            <x v="3"/>
            <x v="4"/>
            <x v="5"/>
            <x v="6"/>
            <x v="7"/>
            <x v="8"/>
            <x v="9"/>
            <x v="10"/>
            <x v="11"/>
            <x v="12"/>
          </reference>
        </references>
      </pivotArea>
    </format>
    <format dxfId="155">
      <pivotArea grandRow="1" outline="0" collapsedLevelsAreSubtotals="1" fieldPosition="0"/>
    </format>
    <format dxfId="154">
      <pivotArea dataOnly="0" labelOnly="1" grandRow="1" outline="0" fieldPosition="0"/>
    </format>
  </format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272179-8AC7-4C8C-BB89-2C38C0F6D05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colHeaderCaption="Beverage Brand">
  <location ref="C5:J19" firstHeaderRow="1" firstDataRow="2"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Col"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Fields count="1">
    <field x="6"/>
  </colFields>
  <colItems count="7">
    <i>
      <x/>
    </i>
    <i>
      <x v="1"/>
    </i>
    <i>
      <x v="2"/>
    </i>
    <i>
      <x v="3"/>
    </i>
    <i>
      <x v="4"/>
    </i>
    <i>
      <x v="5"/>
    </i>
    <i t="grand">
      <x/>
    </i>
  </colItems>
  <dataFields count="1">
    <dataField name="Sum of Total Sales" fld="9" baseField="0" baseItem="0" numFmtId="164"/>
  </dataFields>
  <formats count="40">
    <format dxfId="258">
      <pivotArea type="all" dataOnly="0" outline="0" fieldPosition="0"/>
    </format>
    <format dxfId="257">
      <pivotArea outline="0" collapsedLevelsAreSubtotals="1" fieldPosition="0"/>
    </format>
    <format dxfId="256">
      <pivotArea type="origin" dataOnly="0" labelOnly="1" outline="0" fieldPosition="0"/>
    </format>
    <format dxfId="255">
      <pivotArea field="6" type="button" dataOnly="0" labelOnly="1" outline="0" axis="axisCol" fieldPosition="0"/>
    </format>
    <format dxfId="254">
      <pivotArea type="topRight" dataOnly="0" labelOnly="1" outline="0" fieldPosition="0"/>
    </format>
    <format dxfId="253">
      <pivotArea field="13" type="button" dataOnly="0" labelOnly="1" outline="0" axis="axisRow" fieldPosition="0"/>
    </format>
    <format dxfId="252">
      <pivotArea dataOnly="0" labelOnly="1" fieldPosition="0">
        <references count="1">
          <reference field="13" count="12">
            <x v="1"/>
            <x v="2"/>
            <x v="3"/>
            <x v="4"/>
            <x v="5"/>
            <x v="6"/>
            <x v="7"/>
            <x v="8"/>
            <x v="9"/>
            <x v="10"/>
            <x v="11"/>
            <x v="12"/>
          </reference>
        </references>
      </pivotArea>
    </format>
    <format dxfId="251">
      <pivotArea dataOnly="0" labelOnly="1" grandRow="1" outline="0" fieldPosition="0"/>
    </format>
    <format dxfId="250">
      <pivotArea dataOnly="0" labelOnly="1" fieldPosition="0">
        <references count="1">
          <reference field="6" count="0"/>
        </references>
      </pivotArea>
    </format>
    <format dxfId="249">
      <pivotArea dataOnly="0" labelOnly="1" grandCol="1" outline="0" fieldPosition="0"/>
    </format>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6" type="button" dataOnly="0" labelOnly="1" outline="0" axis="axisCol" fieldPosition="0"/>
    </format>
    <format dxfId="244">
      <pivotArea type="topRight" dataOnly="0" labelOnly="1" outline="0" fieldPosition="0"/>
    </format>
    <format dxfId="243">
      <pivotArea field="13" type="button" dataOnly="0" labelOnly="1" outline="0" axis="axisRow" fieldPosition="0"/>
    </format>
    <format dxfId="242">
      <pivotArea dataOnly="0" labelOnly="1" fieldPosition="0">
        <references count="1">
          <reference field="13" count="12">
            <x v="1"/>
            <x v="2"/>
            <x v="3"/>
            <x v="4"/>
            <x v="5"/>
            <x v="6"/>
            <x v="7"/>
            <x v="8"/>
            <x v="9"/>
            <x v="10"/>
            <x v="11"/>
            <x v="12"/>
          </reference>
        </references>
      </pivotArea>
    </format>
    <format dxfId="241">
      <pivotArea dataOnly="0" labelOnly="1" grandRow="1" outline="0" fieldPosition="0"/>
    </format>
    <format dxfId="240">
      <pivotArea dataOnly="0" labelOnly="1" fieldPosition="0">
        <references count="1">
          <reference field="6" count="0"/>
        </references>
      </pivotArea>
    </format>
    <format dxfId="239">
      <pivotArea dataOnly="0" labelOnly="1" grandCol="1" outline="0" fieldPosition="0"/>
    </format>
    <format dxfId="238">
      <pivotArea type="origin" dataOnly="0" labelOnly="1" outline="0" fieldPosition="0"/>
    </format>
    <format dxfId="237">
      <pivotArea field="6" type="button" dataOnly="0" labelOnly="1" outline="0" axis="axisCol" fieldPosition="0"/>
    </format>
    <format dxfId="236">
      <pivotArea type="topRight" dataOnly="0" labelOnly="1" outline="0" fieldPosition="0"/>
    </format>
    <format dxfId="235">
      <pivotArea field="13" type="button" dataOnly="0" labelOnly="1" outline="0" axis="axisRow" fieldPosition="0"/>
    </format>
    <format dxfId="234">
      <pivotArea dataOnly="0" labelOnly="1" fieldPosition="0">
        <references count="1">
          <reference field="6" count="0"/>
        </references>
      </pivotArea>
    </format>
    <format dxfId="233">
      <pivotArea dataOnly="0" labelOnly="1" grandCol="1" outline="0" fieldPosition="0"/>
    </format>
    <format dxfId="232">
      <pivotArea grandRow="1" outline="0" collapsedLevelsAreSubtotals="1" fieldPosition="0"/>
    </format>
    <format dxfId="231">
      <pivotArea dataOnly="0" labelOnly="1" grandRow="1" outline="0" fieldPosition="0"/>
    </format>
    <format dxfId="230">
      <pivotArea collapsedLevelsAreSubtotals="1" fieldPosition="0">
        <references count="1">
          <reference field="13" count="12">
            <x v="1"/>
            <x v="2"/>
            <x v="3"/>
            <x v="4"/>
            <x v="5"/>
            <x v="6"/>
            <x v="7"/>
            <x v="8"/>
            <x v="9"/>
            <x v="10"/>
            <x v="11"/>
            <x v="12"/>
          </reference>
        </references>
      </pivotArea>
    </format>
    <format dxfId="229">
      <pivotArea dataOnly="0" labelOnly="1" fieldPosition="0">
        <references count="1">
          <reference field="13" count="12">
            <x v="1"/>
            <x v="2"/>
            <x v="3"/>
            <x v="4"/>
            <x v="5"/>
            <x v="6"/>
            <x v="7"/>
            <x v="8"/>
            <x v="9"/>
            <x v="10"/>
            <x v="11"/>
            <x v="12"/>
          </reference>
        </references>
      </pivotArea>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6" type="button" dataOnly="0" labelOnly="1" outline="0" axis="axisCol" fieldPosition="0"/>
    </format>
    <format dxfId="182">
      <pivotArea type="topRight" dataOnly="0" labelOnly="1" outline="0" fieldPosition="0"/>
    </format>
    <format dxfId="181">
      <pivotArea field="13" type="button" dataOnly="0" labelOnly="1" outline="0" axis="axisRow" fieldPosition="0"/>
    </format>
    <format dxfId="180">
      <pivotArea dataOnly="0" labelOnly="1" fieldPosition="0">
        <references count="1">
          <reference field="13" count="12">
            <x v="1"/>
            <x v="2"/>
            <x v="3"/>
            <x v="4"/>
            <x v="5"/>
            <x v="6"/>
            <x v="7"/>
            <x v="8"/>
            <x v="9"/>
            <x v="10"/>
            <x v="11"/>
            <x v="12"/>
          </reference>
        </references>
      </pivotArea>
    </format>
    <format dxfId="179">
      <pivotArea dataOnly="0" labelOnly="1" grandRow="1" outline="0" fieldPosition="0"/>
    </format>
    <format dxfId="178">
      <pivotArea dataOnly="0" labelOnly="1" fieldPosition="0">
        <references count="1">
          <reference field="6" count="0"/>
        </references>
      </pivotArea>
    </format>
    <format dxfId="177">
      <pivotArea dataOnly="0" labelOnly="1" grandCol="1" outline="0" fieldPosition="0"/>
    </format>
  </formats>
  <chartFormats count="6">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10354E-B1AB-40A1-9395-23718A8FADDD}"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41:G46" firstHeaderRow="1" firstDataRow="1" firstDataCol="1"/>
  <pivotFields count="14">
    <pivotField axis="axisRow" showAll="0">
      <items count="5">
        <item sd="0" x="1"/>
        <item sd="0" x="3"/>
        <item sd="0" x="2"/>
        <item sd="0"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items count="7">
        <item x="0"/>
        <item x="5"/>
        <item x="1"/>
        <item x="3"/>
        <item x="4"/>
        <item x="2"/>
        <item t="default"/>
      </items>
    </pivotField>
    <pivotField numFmtId="165" showAll="0"/>
    <pivotField dataField="1" numFmtId="3" showAll="0"/>
    <pivotField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2">
    <field x="0"/>
    <field x="6"/>
  </rowFields>
  <rowItems count="5">
    <i>
      <x/>
    </i>
    <i>
      <x v="1"/>
    </i>
    <i>
      <x v="2"/>
    </i>
    <i>
      <x v="3"/>
    </i>
    <i t="grand">
      <x/>
    </i>
  </rowItems>
  <colItems count="1">
    <i/>
  </colItems>
  <dataFields count="1">
    <dataField name="Sum of Units Sold" fld="8" baseField="0" baseItem="0" numFmtId="3"/>
  </dataFields>
  <formats count="26">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field="0" type="button" dataOnly="0" labelOnly="1" outline="0" axis="axisRow" fieldPosition="0"/>
    </format>
    <format dxfId="6">
      <pivotArea dataOnly="0" labelOnly="1" outline="0" axis="axisValues" fieldPosition="0"/>
    </format>
    <format dxfId="5">
      <pivotArea dataOnly="0" grandRow="1" fieldPosition="0"/>
    </format>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 dxfId="2">
      <pivotArea collapsedLevelsAreSubtotals="1" fieldPosition="0">
        <references count="1">
          <reference field="0" count="1">
            <x v="2"/>
          </reference>
        </references>
      </pivotArea>
    </format>
    <format dxfId="1">
      <pivotArea collapsedLevelsAreSubtotals="1" fieldPosition="0">
        <references count="1">
          <reference field="0" count="1">
            <x v="3"/>
          </reference>
        </references>
      </pivotArea>
    </format>
    <format dxfId="0">
      <pivotArea dataOnly="0" labelOnly="1" fieldPosition="0">
        <references count="1">
          <reference field="0" count="0"/>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FE555D-B330-4E6D-9363-B6CC8093B747}"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colHeaderCaption="Region/Beverage Brand">
  <location ref="C5:I20" firstHeaderRow="1" firstDataRow="3"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Col" showAll="0">
      <items count="6">
        <item sd="0" x="3"/>
        <item sd="0" x="0"/>
        <item sd="0" x="1"/>
        <item sd="0" x="4"/>
        <item sd="0" x="2"/>
        <item t="default"/>
      </items>
    </pivotField>
    <pivotField showAll="0"/>
    <pivotField showAll="0"/>
    <pivotField axis="axisCol"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Fields count="2">
    <field x="3"/>
    <field x="6"/>
  </colFields>
  <colItems count="6">
    <i>
      <x/>
    </i>
    <i>
      <x v="1"/>
    </i>
    <i>
      <x v="2"/>
    </i>
    <i>
      <x v="3"/>
    </i>
    <i>
      <x v="4"/>
    </i>
    <i t="grand">
      <x/>
    </i>
  </colItems>
  <dataFields count="1">
    <dataField name="Sum of Total Sales" fld="9" baseField="0" baseItem="0" numFmtId="164"/>
  </dataFields>
  <formats count="43">
    <format dxfId="68">
      <pivotArea type="all" dataOnly="0" outline="0" fieldPosition="0"/>
    </format>
    <format dxfId="67">
      <pivotArea outline="0" collapsedLevelsAreSubtotals="1" fieldPosition="0"/>
    </format>
    <format dxfId="66">
      <pivotArea type="origin" dataOnly="0" labelOnly="1" outline="0" fieldPosition="0"/>
    </format>
    <format dxfId="65">
      <pivotArea field="3" type="button" dataOnly="0" labelOnly="1" outline="0" axis="axisCol" fieldPosition="0"/>
    </format>
    <format dxfId="64">
      <pivotArea field="6" type="button" dataOnly="0" labelOnly="1" outline="0" axis="axisCol" fieldPosition="1"/>
    </format>
    <format dxfId="63">
      <pivotArea type="topRight" dataOnly="0" labelOnly="1" outline="0" fieldPosition="0"/>
    </format>
    <format dxfId="62">
      <pivotArea field="13" type="button" dataOnly="0" labelOnly="1" outline="0" axis="axisRow" fieldPosition="0"/>
    </format>
    <format dxfId="61">
      <pivotArea dataOnly="0" labelOnly="1" fieldPosition="0">
        <references count="1">
          <reference field="13" count="12">
            <x v="1"/>
            <x v="2"/>
            <x v="3"/>
            <x v="4"/>
            <x v="5"/>
            <x v="6"/>
            <x v="7"/>
            <x v="8"/>
            <x v="9"/>
            <x v="10"/>
            <x v="11"/>
            <x v="12"/>
          </reference>
        </references>
      </pivotArea>
    </format>
    <format dxfId="60">
      <pivotArea dataOnly="0" labelOnly="1" grandRow="1" outline="0" fieldPosition="0"/>
    </format>
    <format dxfId="59">
      <pivotArea dataOnly="0" labelOnly="1" fieldPosition="0">
        <references count="1">
          <reference field="3" count="0"/>
        </references>
      </pivotArea>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3" type="button" dataOnly="0" labelOnly="1" outline="0" axis="axisCol" fieldPosition="0"/>
    </format>
    <format dxfId="53">
      <pivotArea field="6" type="button" dataOnly="0" labelOnly="1" outline="0" axis="axisCol" fieldPosition="1"/>
    </format>
    <format dxfId="52">
      <pivotArea type="topRight" dataOnly="0" labelOnly="1" outline="0" fieldPosition="0"/>
    </format>
    <format dxfId="51">
      <pivotArea field="13" type="button" dataOnly="0" labelOnly="1" outline="0" axis="axisRow" fieldPosition="0"/>
    </format>
    <format dxfId="50">
      <pivotArea dataOnly="0" labelOnly="1" fieldPosition="0">
        <references count="1">
          <reference field="13" count="12">
            <x v="1"/>
            <x v="2"/>
            <x v="3"/>
            <x v="4"/>
            <x v="5"/>
            <x v="6"/>
            <x v="7"/>
            <x v="8"/>
            <x v="9"/>
            <x v="10"/>
            <x v="11"/>
            <x v="12"/>
          </reference>
        </references>
      </pivotArea>
    </format>
    <format dxfId="49">
      <pivotArea dataOnly="0" labelOnly="1" grandRow="1" outline="0" fieldPosition="0"/>
    </format>
    <format dxfId="48">
      <pivotArea dataOnly="0" labelOnly="1" fieldPosition="0">
        <references count="1">
          <reference field="3" count="0"/>
        </references>
      </pivotArea>
    </format>
    <format dxfId="47">
      <pivotArea dataOnly="0" labelOnly="1" grandCol="1" outline="0" fieldPosition="0"/>
    </format>
    <format dxfId="46">
      <pivotArea type="all" dataOnly="0" outline="0" fieldPosition="0"/>
    </format>
    <format dxfId="45">
      <pivotArea type="origin" dataOnly="0" labelOnly="1" outline="0" fieldPosition="0"/>
    </format>
    <format dxfId="44">
      <pivotArea field="3" type="button" dataOnly="0" labelOnly="1" outline="0" axis="axisCol" fieldPosition="0"/>
    </format>
    <format dxfId="43">
      <pivotArea field="6" type="button" dataOnly="0" labelOnly="1" outline="0" axis="axisCol" fieldPosition="1"/>
    </format>
    <format dxfId="42">
      <pivotArea type="topRight" dataOnly="0" labelOnly="1" outline="0" fieldPosition="0"/>
    </format>
    <format dxfId="41">
      <pivotArea dataOnly="0" labelOnly="1" offset="IV1" fieldPosition="0">
        <references count="1">
          <reference field="3" count="1">
            <x v="0"/>
          </reference>
        </references>
      </pivotArea>
    </format>
    <format dxfId="40">
      <pivotArea dataOnly="0" labelOnly="1" offset="IV1" fieldPosition="0">
        <references count="1">
          <reference field="3" count="1">
            <x v="1"/>
          </reference>
        </references>
      </pivotArea>
    </format>
    <format dxfId="39">
      <pivotArea dataOnly="0" labelOnly="1" offset="IV1" fieldPosition="0">
        <references count="1">
          <reference field="3" count="1">
            <x v="2"/>
          </reference>
        </references>
      </pivotArea>
    </format>
    <format dxfId="38">
      <pivotArea dataOnly="0" labelOnly="1" offset="IV1" fieldPosition="0">
        <references count="1">
          <reference field="3" count="1">
            <x v="3"/>
          </reference>
        </references>
      </pivotArea>
    </format>
    <format dxfId="37">
      <pivotArea dataOnly="0" labelOnly="1" offset="IV1" fieldPosition="0">
        <references count="1">
          <reference field="3" count="1">
            <x v="4"/>
          </reference>
        </references>
      </pivotArea>
    </format>
    <format dxfId="36">
      <pivotArea dataOnly="0" labelOnly="1" grandCol="1" outline="0" offset="IV1" fieldPosition="0"/>
    </format>
    <format dxfId="35">
      <pivotArea collapsedLevelsAreSubtotals="1" fieldPosition="0">
        <references count="1">
          <reference field="13" count="12">
            <x v="1"/>
            <x v="2"/>
            <x v="3"/>
            <x v="4"/>
            <x v="5"/>
            <x v="6"/>
            <x v="7"/>
            <x v="8"/>
            <x v="9"/>
            <x v="10"/>
            <x v="11"/>
            <x v="12"/>
          </reference>
        </references>
      </pivotArea>
    </format>
    <format dxfId="34">
      <pivotArea field="13" type="button" dataOnly="0" labelOnly="1" outline="0" axis="axisRow" fieldPosition="0"/>
    </format>
    <format dxfId="33">
      <pivotArea dataOnly="0" labelOnly="1" fieldPosition="0">
        <references count="1">
          <reference field="13" count="12">
            <x v="1"/>
            <x v="2"/>
            <x v="3"/>
            <x v="4"/>
            <x v="5"/>
            <x v="6"/>
            <x v="7"/>
            <x v="8"/>
            <x v="9"/>
            <x v="10"/>
            <x v="11"/>
            <x v="12"/>
          </reference>
        </references>
      </pivotArea>
    </format>
    <format dxfId="32">
      <pivotArea dataOnly="0" labelOnly="1" offset="IV256" fieldPosition="0">
        <references count="1">
          <reference field="3" count="1">
            <x v="0"/>
          </reference>
        </references>
      </pivotArea>
    </format>
    <format dxfId="31">
      <pivotArea dataOnly="0" labelOnly="1" offset="IV256" fieldPosition="0">
        <references count="1">
          <reference field="3" count="1">
            <x v="1"/>
          </reference>
        </references>
      </pivotArea>
    </format>
    <format dxfId="30">
      <pivotArea dataOnly="0" labelOnly="1" offset="IV256" fieldPosition="0">
        <references count="1">
          <reference field="3" count="1">
            <x v="2"/>
          </reference>
        </references>
      </pivotArea>
    </format>
    <format dxfId="29">
      <pivotArea dataOnly="0" labelOnly="1" offset="IV256" fieldPosition="0">
        <references count="1">
          <reference field="3" count="1">
            <x v="3"/>
          </reference>
        </references>
      </pivotArea>
    </format>
    <format dxfId="28">
      <pivotArea dataOnly="0" labelOnly="1" offset="IV256" fieldPosition="0">
        <references count="1">
          <reference field="3" count="1">
            <x v="4"/>
          </reference>
        </references>
      </pivotArea>
    </format>
    <format dxfId="27">
      <pivotArea dataOnly="0" labelOnly="1" grandCol="1" outline="0" offset="IV256" fieldPosition="0"/>
    </format>
    <format dxfId="26">
      <pivotArea dataOnly="0" grandRow="1" fieldPosition="0"/>
    </format>
  </formats>
  <chartFormats count="5">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2"/>
          </reference>
        </references>
      </pivotArea>
    </chartFormat>
    <chartFormat chart="14" format="3" series="1">
      <pivotArea type="data" outline="0" fieldPosition="0">
        <references count="2">
          <reference field="4294967294" count="1" selected="0">
            <x v="0"/>
          </reference>
          <reference field="3" count="1" selected="0">
            <x v="3"/>
          </reference>
        </references>
      </pivotArea>
    </chartFormat>
    <chartFormat chart="14"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A6C-D105-4DE0-9A1D-41A0D7E3C636}">
  <dimension ref="C5:V9"/>
  <sheetViews>
    <sheetView showGridLines="0" tabSelected="1" topLeftCell="A2" zoomScale="70" zoomScaleNormal="90" workbookViewId="0">
      <selection activeCell="C5" sqref="C5:V9"/>
    </sheetView>
  </sheetViews>
  <sheetFormatPr defaultRowHeight="19" customHeight="1" x14ac:dyDescent="0.35"/>
  <cols>
    <col min="1" max="2" width="8.7265625" style="18"/>
    <col min="3" max="3" width="12.36328125" style="18" customWidth="1"/>
    <col min="4" max="16384" width="8.7265625" style="18"/>
  </cols>
  <sheetData>
    <row r="5" spans="3:22" ht="19" customHeight="1" x14ac:dyDescent="0.35">
      <c r="C5" s="111" t="s">
        <v>189</v>
      </c>
      <c r="D5" s="112"/>
      <c r="E5" s="112"/>
      <c r="F5" s="112"/>
      <c r="G5" s="112"/>
      <c r="H5" s="112"/>
      <c r="I5" s="112"/>
      <c r="J5" s="112"/>
      <c r="K5" s="112"/>
      <c r="L5" s="112"/>
      <c r="M5" s="112"/>
      <c r="N5" s="112"/>
      <c r="O5" s="112"/>
      <c r="P5" s="112"/>
      <c r="Q5" s="112"/>
      <c r="R5" s="112"/>
      <c r="S5" s="112"/>
      <c r="T5" s="112"/>
      <c r="U5" s="112"/>
      <c r="V5" s="113"/>
    </row>
    <row r="6" spans="3:22" ht="19" customHeight="1" x14ac:dyDescent="0.35">
      <c r="C6" s="114"/>
      <c r="D6" s="110"/>
      <c r="E6" s="110"/>
      <c r="F6" s="110"/>
      <c r="G6" s="110"/>
      <c r="H6" s="110"/>
      <c r="I6" s="110"/>
      <c r="J6" s="110"/>
      <c r="K6" s="110"/>
      <c r="L6" s="110"/>
      <c r="M6" s="110"/>
      <c r="N6" s="110"/>
      <c r="O6" s="110"/>
      <c r="P6" s="110"/>
      <c r="Q6" s="110"/>
      <c r="R6" s="110"/>
      <c r="S6" s="110"/>
      <c r="T6" s="110"/>
      <c r="U6" s="110"/>
      <c r="V6" s="115"/>
    </row>
    <row r="7" spans="3:22" ht="19" customHeight="1" x14ac:dyDescent="0.35">
      <c r="C7" s="114"/>
      <c r="D7" s="110"/>
      <c r="E7" s="110"/>
      <c r="F7" s="110"/>
      <c r="G7" s="110"/>
      <c r="H7" s="110"/>
      <c r="I7" s="110"/>
      <c r="J7" s="110"/>
      <c r="K7" s="110"/>
      <c r="L7" s="110"/>
      <c r="M7" s="110"/>
      <c r="N7" s="110"/>
      <c r="O7" s="110"/>
      <c r="P7" s="110"/>
      <c r="Q7" s="110"/>
      <c r="R7" s="110"/>
      <c r="S7" s="110"/>
      <c r="T7" s="110"/>
      <c r="U7" s="110"/>
      <c r="V7" s="115"/>
    </row>
    <row r="8" spans="3:22" ht="19" customHeight="1" x14ac:dyDescent="0.35">
      <c r="C8" s="114"/>
      <c r="D8" s="110"/>
      <c r="E8" s="110"/>
      <c r="F8" s="110"/>
      <c r="G8" s="110"/>
      <c r="H8" s="110"/>
      <c r="I8" s="110"/>
      <c r="J8" s="110"/>
      <c r="K8" s="110"/>
      <c r="L8" s="110"/>
      <c r="M8" s="110"/>
      <c r="N8" s="110"/>
      <c r="O8" s="110"/>
      <c r="P8" s="110"/>
      <c r="Q8" s="110"/>
      <c r="R8" s="110"/>
      <c r="S8" s="110"/>
      <c r="T8" s="110"/>
      <c r="U8" s="110"/>
      <c r="V8" s="115"/>
    </row>
    <row r="9" spans="3:22" ht="19" customHeight="1" x14ac:dyDescent="0.35">
      <c r="C9" s="116"/>
      <c r="D9" s="117"/>
      <c r="E9" s="117"/>
      <c r="F9" s="117"/>
      <c r="G9" s="117"/>
      <c r="H9" s="117"/>
      <c r="I9" s="117"/>
      <c r="J9" s="117"/>
      <c r="K9" s="117"/>
      <c r="L9" s="117"/>
      <c r="M9" s="117"/>
      <c r="N9" s="117"/>
      <c r="O9" s="117"/>
      <c r="P9" s="117"/>
      <c r="Q9" s="117"/>
      <c r="R9" s="117"/>
      <c r="S9" s="117"/>
      <c r="T9" s="117"/>
      <c r="U9" s="117"/>
      <c r="V9" s="118"/>
    </row>
  </sheetData>
  <mergeCells count="1">
    <mergeCell ref="C5:V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zoomScale="90" zoomScaleNormal="90" workbookViewId="0"/>
  </sheetViews>
  <sheetFormatPr defaultColWidth="14.453125" defaultRowHeight="15" customHeight="1" x14ac:dyDescent="0.35"/>
  <cols>
    <col min="1" max="1" width="8.6328125" customWidth="1"/>
    <col min="2" max="2" width="9.36328125" customWidth="1"/>
    <col min="3" max="3" width="11.6328125" customWidth="1"/>
    <col min="4" max="4" width="13.453125" customWidth="1"/>
    <col min="5" max="5" width="10.453125" customWidth="1"/>
    <col min="6" max="6" width="14.36328125" customWidth="1"/>
    <col min="7" max="7" width="13.08984375" customWidth="1"/>
    <col min="8" max="8" width="16.36328125" customWidth="1"/>
    <col min="9" max="9" width="14.453125" customWidth="1"/>
    <col min="10" max="10" width="11.453125" customWidth="1"/>
    <col min="11" max="11" width="11.90625" customWidth="1"/>
    <col min="12" max="12" width="16.6328125" customWidth="1"/>
    <col min="13" max="13" width="18" customWidth="1"/>
    <col min="14" max="14" width="8.90625" customWidth="1"/>
    <col min="15" max="15" width="10.90625" customWidth="1"/>
    <col min="16" max="18" width="8.90625" customWidth="1"/>
  </cols>
  <sheetData>
    <row r="1" spans="1:15" ht="14.5" x14ac:dyDescent="0.35">
      <c r="A1" s="1"/>
    </row>
    <row r="2" spans="1:15" ht="23.5" x14ac:dyDescent="0.55000000000000004">
      <c r="A2" s="1"/>
      <c r="B2" s="2" t="s">
        <v>0</v>
      </c>
      <c r="C2" s="3"/>
      <c r="D2" s="3"/>
      <c r="E2" s="3"/>
      <c r="F2" s="3"/>
      <c r="G2" s="3"/>
      <c r="H2" s="3"/>
      <c r="I2" s="3"/>
      <c r="J2" s="3"/>
      <c r="K2" s="3"/>
      <c r="L2" s="3"/>
      <c r="M2" s="3"/>
    </row>
    <row r="3" spans="1:15" ht="15.5" x14ac:dyDescent="0.35">
      <c r="A3" s="1"/>
      <c r="B3" s="4" t="s">
        <v>1</v>
      </c>
    </row>
    <row r="4" spans="1:15" ht="14.5" x14ac:dyDescent="0.35">
      <c r="A4" s="1"/>
    </row>
    <row r="5" spans="1:15" ht="14.5" x14ac:dyDescent="0.35">
      <c r="A5" s="1"/>
      <c r="B5" s="5" t="s">
        <v>2</v>
      </c>
      <c r="C5" s="5" t="s">
        <v>3</v>
      </c>
      <c r="D5" s="5" t="s">
        <v>4</v>
      </c>
      <c r="E5" s="5" t="s">
        <v>5</v>
      </c>
      <c r="F5" s="5" t="s">
        <v>6</v>
      </c>
      <c r="G5" s="5" t="s">
        <v>7</v>
      </c>
      <c r="H5" s="5" t="s">
        <v>8</v>
      </c>
      <c r="I5" s="5" t="s">
        <v>9</v>
      </c>
      <c r="J5" s="5" t="s">
        <v>10</v>
      </c>
      <c r="K5" s="5" t="s">
        <v>11</v>
      </c>
      <c r="L5" s="5" t="s">
        <v>12</v>
      </c>
      <c r="M5" s="5" t="s">
        <v>13</v>
      </c>
    </row>
    <row r="6" spans="1:15" ht="14.5" x14ac:dyDescent="0.35">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ht="14.5" x14ac:dyDescent="0.35">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ht="14.5" x14ac:dyDescent="0.35">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ht="14.5" x14ac:dyDescent="0.35">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ht="14.5" x14ac:dyDescent="0.35">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ht="14.5" x14ac:dyDescent="0.35">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ht="14.5" x14ac:dyDescent="0.35">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ht="14.5" x14ac:dyDescent="0.35">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ht="14.5" x14ac:dyDescent="0.35">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ht="14.5" x14ac:dyDescent="0.35">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ht="14.5" x14ac:dyDescent="0.35">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ht="14.5" x14ac:dyDescent="0.35">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ht="14.5" x14ac:dyDescent="0.35">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ht="14.5" x14ac:dyDescent="0.35">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ht="14.5" x14ac:dyDescent="0.35">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x14ac:dyDescent="0.35">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x14ac:dyDescent="0.35">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x14ac:dyDescent="0.35">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x14ac:dyDescent="0.35">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x14ac:dyDescent="0.35">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x14ac:dyDescent="0.35">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x14ac:dyDescent="0.35">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x14ac:dyDescent="0.35">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x14ac:dyDescent="0.35">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x14ac:dyDescent="0.35">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x14ac:dyDescent="0.35">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x14ac:dyDescent="0.35">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x14ac:dyDescent="0.35">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x14ac:dyDescent="0.35">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x14ac:dyDescent="0.35">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x14ac:dyDescent="0.35">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x14ac:dyDescent="0.35">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x14ac:dyDescent="0.35">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x14ac:dyDescent="0.35">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x14ac:dyDescent="0.35">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x14ac:dyDescent="0.35">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x14ac:dyDescent="0.35">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x14ac:dyDescent="0.35">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x14ac:dyDescent="0.35">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x14ac:dyDescent="0.35">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x14ac:dyDescent="0.35">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x14ac:dyDescent="0.35">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x14ac:dyDescent="0.35">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x14ac:dyDescent="0.35">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x14ac:dyDescent="0.35">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x14ac:dyDescent="0.35">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x14ac:dyDescent="0.35">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x14ac:dyDescent="0.35">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x14ac:dyDescent="0.35">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x14ac:dyDescent="0.35">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x14ac:dyDescent="0.35">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x14ac:dyDescent="0.35">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x14ac:dyDescent="0.35">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x14ac:dyDescent="0.35">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x14ac:dyDescent="0.35">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x14ac:dyDescent="0.35">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x14ac:dyDescent="0.35">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x14ac:dyDescent="0.35">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x14ac:dyDescent="0.35">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x14ac:dyDescent="0.35">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x14ac:dyDescent="0.35">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x14ac:dyDescent="0.35">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x14ac:dyDescent="0.35">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x14ac:dyDescent="0.35">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x14ac:dyDescent="0.35">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x14ac:dyDescent="0.35">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x14ac:dyDescent="0.35">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x14ac:dyDescent="0.35">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x14ac:dyDescent="0.35">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x14ac:dyDescent="0.35">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x14ac:dyDescent="0.35">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x14ac:dyDescent="0.35">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x14ac:dyDescent="0.35">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x14ac:dyDescent="0.35">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x14ac:dyDescent="0.35">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x14ac:dyDescent="0.35">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x14ac:dyDescent="0.35">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x14ac:dyDescent="0.35">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x14ac:dyDescent="0.35">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x14ac:dyDescent="0.35">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x14ac:dyDescent="0.35">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x14ac:dyDescent="0.35">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x14ac:dyDescent="0.35">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x14ac:dyDescent="0.35">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x14ac:dyDescent="0.35">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x14ac:dyDescent="0.35">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x14ac:dyDescent="0.35">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x14ac:dyDescent="0.35">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x14ac:dyDescent="0.35">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x14ac:dyDescent="0.35">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x14ac:dyDescent="0.35">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x14ac:dyDescent="0.35">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x14ac:dyDescent="0.35">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x14ac:dyDescent="0.35">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x14ac:dyDescent="0.35">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x14ac:dyDescent="0.35">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x14ac:dyDescent="0.35">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x14ac:dyDescent="0.35">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x14ac:dyDescent="0.35">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x14ac:dyDescent="0.35">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x14ac:dyDescent="0.35">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x14ac:dyDescent="0.35">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x14ac:dyDescent="0.35">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x14ac:dyDescent="0.35">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x14ac:dyDescent="0.35">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x14ac:dyDescent="0.35">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x14ac:dyDescent="0.35">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x14ac:dyDescent="0.35">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x14ac:dyDescent="0.35">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x14ac:dyDescent="0.35">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x14ac:dyDescent="0.35">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x14ac:dyDescent="0.35">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x14ac:dyDescent="0.35">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x14ac:dyDescent="0.35">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x14ac:dyDescent="0.35">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x14ac:dyDescent="0.35">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x14ac:dyDescent="0.35">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x14ac:dyDescent="0.35">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x14ac:dyDescent="0.35">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x14ac:dyDescent="0.35">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x14ac:dyDescent="0.35">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x14ac:dyDescent="0.35">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x14ac:dyDescent="0.35">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x14ac:dyDescent="0.35">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x14ac:dyDescent="0.35">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x14ac:dyDescent="0.35">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x14ac:dyDescent="0.35">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x14ac:dyDescent="0.35">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x14ac:dyDescent="0.35">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x14ac:dyDescent="0.35">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x14ac:dyDescent="0.35">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x14ac:dyDescent="0.35">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x14ac:dyDescent="0.35">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x14ac:dyDescent="0.35">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x14ac:dyDescent="0.35">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x14ac:dyDescent="0.35">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x14ac:dyDescent="0.35">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x14ac:dyDescent="0.35">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x14ac:dyDescent="0.35">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x14ac:dyDescent="0.35">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x14ac:dyDescent="0.35">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x14ac:dyDescent="0.35">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x14ac:dyDescent="0.35">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x14ac:dyDescent="0.35">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x14ac:dyDescent="0.35">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x14ac:dyDescent="0.35">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x14ac:dyDescent="0.35">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x14ac:dyDescent="0.35">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x14ac:dyDescent="0.35">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x14ac:dyDescent="0.35">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x14ac:dyDescent="0.35">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x14ac:dyDescent="0.35">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x14ac:dyDescent="0.35">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x14ac:dyDescent="0.35">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x14ac:dyDescent="0.35">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x14ac:dyDescent="0.35">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x14ac:dyDescent="0.35">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x14ac:dyDescent="0.35">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x14ac:dyDescent="0.35">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x14ac:dyDescent="0.35">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x14ac:dyDescent="0.35">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x14ac:dyDescent="0.35">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x14ac:dyDescent="0.35">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x14ac:dyDescent="0.35">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x14ac:dyDescent="0.35">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x14ac:dyDescent="0.35">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x14ac:dyDescent="0.35">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x14ac:dyDescent="0.35">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x14ac:dyDescent="0.35">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x14ac:dyDescent="0.35">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x14ac:dyDescent="0.35">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x14ac:dyDescent="0.35">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x14ac:dyDescent="0.35">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x14ac:dyDescent="0.35">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x14ac:dyDescent="0.35">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x14ac:dyDescent="0.35">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x14ac:dyDescent="0.35">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x14ac:dyDescent="0.35">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x14ac:dyDescent="0.35">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x14ac:dyDescent="0.35">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x14ac:dyDescent="0.35">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x14ac:dyDescent="0.35">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x14ac:dyDescent="0.35">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x14ac:dyDescent="0.35">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x14ac:dyDescent="0.35">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x14ac:dyDescent="0.35">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x14ac:dyDescent="0.35">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x14ac:dyDescent="0.35">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x14ac:dyDescent="0.35">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x14ac:dyDescent="0.35">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x14ac:dyDescent="0.35">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x14ac:dyDescent="0.35">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x14ac:dyDescent="0.35">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x14ac:dyDescent="0.35">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x14ac:dyDescent="0.35">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x14ac:dyDescent="0.35">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x14ac:dyDescent="0.35">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x14ac:dyDescent="0.35">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x14ac:dyDescent="0.35">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x14ac:dyDescent="0.35">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x14ac:dyDescent="0.35">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x14ac:dyDescent="0.35">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x14ac:dyDescent="0.35">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x14ac:dyDescent="0.35">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x14ac:dyDescent="0.35">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x14ac:dyDescent="0.35">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x14ac:dyDescent="0.35">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x14ac:dyDescent="0.35">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x14ac:dyDescent="0.35">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x14ac:dyDescent="0.35">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x14ac:dyDescent="0.35">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x14ac:dyDescent="0.35">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x14ac:dyDescent="0.35">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x14ac:dyDescent="0.35">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x14ac:dyDescent="0.35">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x14ac:dyDescent="0.35">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x14ac:dyDescent="0.35">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x14ac:dyDescent="0.35">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x14ac:dyDescent="0.35">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x14ac:dyDescent="0.35">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x14ac:dyDescent="0.35">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x14ac:dyDescent="0.35">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x14ac:dyDescent="0.35">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x14ac:dyDescent="0.35">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x14ac:dyDescent="0.35">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x14ac:dyDescent="0.35">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x14ac:dyDescent="0.35">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x14ac:dyDescent="0.35">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x14ac:dyDescent="0.35">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x14ac:dyDescent="0.35">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x14ac:dyDescent="0.35">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x14ac:dyDescent="0.35">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x14ac:dyDescent="0.35">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x14ac:dyDescent="0.35">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x14ac:dyDescent="0.35">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x14ac:dyDescent="0.35">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x14ac:dyDescent="0.35">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x14ac:dyDescent="0.35">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x14ac:dyDescent="0.35">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x14ac:dyDescent="0.35">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x14ac:dyDescent="0.35">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x14ac:dyDescent="0.35">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x14ac:dyDescent="0.35">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x14ac:dyDescent="0.35">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x14ac:dyDescent="0.35">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x14ac:dyDescent="0.35">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x14ac:dyDescent="0.35">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x14ac:dyDescent="0.35">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x14ac:dyDescent="0.35">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x14ac:dyDescent="0.35">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x14ac:dyDescent="0.35">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x14ac:dyDescent="0.35">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x14ac:dyDescent="0.35">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x14ac:dyDescent="0.35">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x14ac:dyDescent="0.35">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x14ac:dyDescent="0.35">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x14ac:dyDescent="0.35">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x14ac:dyDescent="0.35">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x14ac:dyDescent="0.35">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x14ac:dyDescent="0.35">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x14ac:dyDescent="0.35">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x14ac:dyDescent="0.35">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x14ac:dyDescent="0.35">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x14ac:dyDescent="0.35">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x14ac:dyDescent="0.35">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x14ac:dyDescent="0.35">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x14ac:dyDescent="0.35">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x14ac:dyDescent="0.35">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x14ac:dyDescent="0.35">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x14ac:dyDescent="0.35">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x14ac:dyDescent="0.35">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x14ac:dyDescent="0.35">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x14ac:dyDescent="0.35">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x14ac:dyDescent="0.35">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x14ac:dyDescent="0.35">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x14ac:dyDescent="0.35">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x14ac:dyDescent="0.35">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x14ac:dyDescent="0.35">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x14ac:dyDescent="0.35">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x14ac:dyDescent="0.35">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x14ac:dyDescent="0.35">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x14ac:dyDescent="0.35">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x14ac:dyDescent="0.35">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x14ac:dyDescent="0.35">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x14ac:dyDescent="0.35">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x14ac:dyDescent="0.35">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x14ac:dyDescent="0.35">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x14ac:dyDescent="0.35">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x14ac:dyDescent="0.35">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x14ac:dyDescent="0.35">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x14ac:dyDescent="0.35">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x14ac:dyDescent="0.35">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x14ac:dyDescent="0.35">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x14ac:dyDescent="0.35">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x14ac:dyDescent="0.35">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x14ac:dyDescent="0.35">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x14ac:dyDescent="0.35">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x14ac:dyDescent="0.35">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x14ac:dyDescent="0.35">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x14ac:dyDescent="0.35">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x14ac:dyDescent="0.35">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x14ac:dyDescent="0.35">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x14ac:dyDescent="0.35">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x14ac:dyDescent="0.35">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x14ac:dyDescent="0.35">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x14ac:dyDescent="0.35">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x14ac:dyDescent="0.35">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x14ac:dyDescent="0.35">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x14ac:dyDescent="0.35">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x14ac:dyDescent="0.35">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x14ac:dyDescent="0.35">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x14ac:dyDescent="0.35">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x14ac:dyDescent="0.35">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x14ac:dyDescent="0.35">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x14ac:dyDescent="0.35">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x14ac:dyDescent="0.35">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x14ac:dyDescent="0.35">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x14ac:dyDescent="0.35">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x14ac:dyDescent="0.35">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x14ac:dyDescent="0.35">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x14ac:dyDescent="0.35">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x14ac:dyDescent="0.35">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x14ac:dyDescent="0.35">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x14ac:dyDescent="0.35">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x14ac:dyDescent="0.35">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x14ac:dyDescent="0.35">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x14ac:dyDescent="0.35">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x14ac:dyDescent="0.35">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x14ac:dyDescent="0.35">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x14ac:dyDescent="0.35">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x14ac:dyDescent="0.35">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x14ac:dyDescent="0.35">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x14ac:dyDescent="0.35">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x14ac:dyDescent="0.35">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x14ac:dyDescent="0.35">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x14ac:dyDescent="0.35">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x14ac:dyDescent="0.35">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x14ac:dyDescent="0.35">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x14ac:dyDescent="0.35">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x14ac:dyDescent="0.35">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x14ac:dyDescent="0.35">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x14ac:dyDescent="0.35">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x14ac:dyDescent="0.35">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x14ac:dyDescent="0.35">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x14ac:dyDescent="0.35">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x14ac:dyDescent="0.35">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x14ac:dyDescent="0.35">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x14ac:dyDescent="0.35">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x14ac:dyDescent="0.35">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x14ac:dyDescent="0.35">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x14ac:dyDescent="0.35">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x14ac:dyDescent="0.35">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x14ac:dyDescent="0.35">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x14ac:dyDescent="0.35">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x14ac:dyDescent="0.35">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x14ac:dyDescent="0.35">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x14ac:dyDescent="0.35">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x14ac:dyDescent="0.35">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x14ac:dyDescent="0.35">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x14ac:dyDescent="0.35">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x14ac:dyDescent="0.35">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x14ac:dyDescent="0.35">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x14ac:dyDescent="0.35">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x14ac:dyDescent="0.35">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x14ac:dyDescent="0.35">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x14ac:dyDescent="0.35">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x14ac:dyDescent="0.35">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x14ac:dyDescent="0.35">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x14ac:dyDescent="0.35">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x14ac:dyDescent="0.35">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x14ac:dyDescent="0.35">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x14ac:dyDescent="0.35">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x14ac:dyDescent="0.35">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x14ac:dyDescent="0.35">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x14ac:dyDescent="0.35">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x14ac:dyDescent="0.35">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x14ac:dyDescent="0.35">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x14ac:dyDescent="0.35">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x14ac:dyDescent="0.35">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x14ac:dyDescent="0.35">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x14ac:dyDescent="0.35">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x14ac:dyDescent="0.35">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x14ac:dyDescent="0.35">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x14ac:dyDescent="0.35">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x14ac:dyDescent="0.35">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x14ac:dyDescent="0.35">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x14ac:dyDescent="0.35">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x14ac:dyDescent="0.35">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x14ac:dyDescent="0.35">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x14ac:dyDescent="0.35">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x14ac:dyDescent="0.35">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x14ac:dyDescent="0.35">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x14ac:dyDescent="0.35">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x14ac:dyDescent="0.35">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x14ac:dyDescent="0.35">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x14ac:dyDescent="0.35">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x14ac:dyDescent="0.35">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x14ac:dyDescent="0.35">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x14ac:dyDescent="0.35">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x14ac:dyDescent="0.35">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x14ac:dyDescent="0.35">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x14ac:dyDescent="0.35">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x14ac:dyDescent="0.35">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x14ac:dyDescent="0.35">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x14ac:dyDescent="0.35">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x14ac:dyDescent="0.35">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x14ac:dyDescent="0.35">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x14ac:dyDescent="0.35">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x14ac:dyDescent="0.35">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x14ac:dyDescent="0.35">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x14ac:dyDescent="0.35">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x14ac:dyDescent="0.35">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x14ac:dyDescent="0.35">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x14ac:dyDescent="0.35">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x14ac:dyDescent="0.35">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x14ac:dyDescent="0.35">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x14ac:dyDescent="0.35">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x14ac:dyDescent="0.35">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x14ac:dyDescent="0.35">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x14ac:dyDescent="0.35">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x14ac:dyDescent="0.35">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x14ac:dyDescent="0.35">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x14ac:dyDescent="0.35">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x14ac:dyDescent="0.35">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x14ac:dyDescent="0.35">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x14ac:dyDescent="0.35">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x14ac:dyDescent="0.35">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x14ac:dyDescent="0.35">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x14ac:dyDescent="0.35">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x14ac:dyDescent="0.35">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x14ac:dyDescent="0.35">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x14ac:dyDescent="0.35">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x14ac:dyDescent="0.35">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x14ac:dyDescent="0.35">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x14ac:dyDescent="0.35">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x14ac:dyDescent="0.35">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x14ac:dyDescent="0.35">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x14ac:dyDescent="0.35">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x14ac:dyDescent="0.35">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x14ac:dyDescent="0.35">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x14ac:dyDescent="0.35">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x14ac:dyDescent="0.35">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x14ac:dyDescent="0.35">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x14ac:dyDescent="0.35">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x14ac:dyDescent="0.35">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x14ac:dyDescent="0.35">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x14ac:dyDescent="0.35">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x14ac:dyDescent="0.35">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x14ac:dyDescent="0.35">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x14ac:dyDescent="0.35">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x14ac:dyDescent="0.35">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x14ac:dyDescent="0.35">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x14ac:dyDescent="0.35">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x14ac:dyDescent="0.35">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x14ac:dyDescent="0.35">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x14ac:dyDescent="0.35">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x14ac:dyDescent="0.35">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x14ac:dyDescent="0.35">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x14ac:dyDescent="0.35">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x14ac:dyDescent="0.35">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x14ac:dyDescent="0.35">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x14ac:dyDescent="0.35">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x14ac:dyDescent="0.35">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x14ac:dyDescent="0.35">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x14ac:dyDescent="0.35">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x14ac:dyDescent="0.35">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x14ac:dyDescent="0.35">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x14ac:dyDescent="0.35">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x14ac:dyDescent="0.35">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x14ac:dyDescent="0.35">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x14ac:dyDescent="0.35">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x14ac:dyDescent="0.35">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x14ac:dyDescent="0.35">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x14ac:dyDescent="0.35">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x14ac:dyDescent="0.35">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x14ac:dyDescent="0.35">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x14ac:dyDescent="0.35">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x14ac:dyDescent="0.35">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x14ac:dyDescent="0.35">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x14ac:dyDescent="0.35">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x14ac:dyDescent="0.35">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x14ac:dyDescent="0.35">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x14ac:dyDescent="0.35">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x14ac:dyDescent="0.35">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x14ac:dyDescent="0.35">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x14ac:dyDescent="0.35">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x14ac:dyDescent="0.35">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x14ac:dyDescent="0.35">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x14ac:dyDescent="0.35">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x14ac:dyDescent="0.35">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x14ac:dyDescent="0.35">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x14ac:dyDescent="0.35">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x14ac:dyDescent="0.35">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x14ac:dyDescent="0.35">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x14ac:dyDescent="0.35">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x14ac:dyDescent="0.35">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x14ac:dyDescent="0.35">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x14ac:dyDescent="0.35">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x14ac:dyDescent="0.35">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x14ac:dyDescent="0.35">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x14ac:dyDescent="0.35">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x14ac:dyDescent="0.35">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x14ac:dyDescent="0.35">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x14ac:dyDescent="0.35">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x14ac:dyDescent="0.35">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x14ac:dyDescent="0.35">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x14ac:dyDescent="0.35">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x14ac:dyDescent="0.35">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x14ac:dyDescent="0.35">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x14ac:dyDescent="0.35">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x14ac:dyDescent="0.35">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x14ac:dyDescent="0.35">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x14ac:dyDescent="0.35">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x14ac:dyDescent="0.35">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x14ac:dyDescent="0.35">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x14ac:dyDescent="0.35">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x14ac:dyDescent="0.35">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x14ac:dyDescent="0.35">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x14ac:dyDescent="0.35">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x14ac:dyDescent="0.35">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x14ac:dyDescent="0.35">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x14ac:dyDescent="0.35">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x14ac:dyDescent="0.35">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x14ac:dyDescent="0.35">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x14ac:dyDescent="0.35">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x14ac:dyDescent="0.35">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x14ac:dyDescent="0.35">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x14ac:dyDescent="0.35">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x14ac:dyDescent="0.35">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x14ac:dyDescent="0.35">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x14ac:dyDescent="0.35">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x14ac:dyDescent="0.35">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x14ac:dyDescent="0.35">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x14ac:dyDescent="0.35">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x14ac:dyDescent="0.35">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x14ac:dyDescent="0.35">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x14ac:dyDescent="0.35">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x14ac:dyDescent="0.35">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x14ac:dyDescent="0.35">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x14ac:dyDescent="0.35">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x14ac:dyDescent="0.35">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x14ac:dyDescent="0.35">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x14ac:dyDescent="0.35">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x14ac:dyDescent="0.35">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x14ac:dyDescent="0.35">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x14ac:dyDescent="0.35">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x14ac:dyDescent="0.35">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x14ac:dyDescent="0.35">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x14ac:dyDescent="0.35">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x14ac:dyDescent="0.35">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x14ac:dyDescent="0.35">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x14ac:dyDescent="0.35">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x14ac:dyDescent="0.35">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x14ac:dyDescent="0.35">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x14ac:dyDescent="0.35">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x14ac:dyDescent="0.35">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x14ac:dyDescent="0.35">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x14ac:dyDescent="0.35">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x14ac:dyDescent="0.35">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x14ac:dyDescent="0.35">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x14ac:dyDescent="0.35">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x14ac:dyDescent="0.35">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x14ac:dyDescent="0.35">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x14ac:dyDescent="0.35">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x14ac:dyDescent="0.35">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x14ac:dyDescent="0.35">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x14ac:dyDescent="0.35">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x14ac:dyDescent="0.35">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x14ac:dyDescent="0.35">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x14ac:dyDescent="0.35">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x14ac:dyDescent="0.35">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x14ac:dyDescent="0.35">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x14ac:dyDescent="0.35">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x14ac:dyDescent="0.35">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x14ac:dyDescent="0.35">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x14ac:dyDescent="0.35">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x14ac:dyDescent="0.35">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x14ac:dyDescent="0.35">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x14ac:dyDescent="0.35">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x14ac:dyDescent="0.35">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x14ac:dyDescent="0.35">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x14ac:dyDescent="0.35">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x14ac:dyDescent="0.35">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x14ac:dyDescent="0.35">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x14ac:dyDescent="0.35">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x14ac:dyDescent="0.35">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x14ac:dyDescent="0.35">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x14ac:dyDescent="0.35">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x14ac:dyDescent="0.35">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x14ac:dyDescent="0.35">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x14ac:dyDescent="0.35">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x14ac:dyDescent="0.35">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x14ac:dyDescent="0.35">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x14ac:dyDescent="0.35">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x14ac:dyDescent="0.35">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x14ac:dyDescent="0.35">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x14ac:dyDescent="0.35">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x14ac:dyDescent="0.35">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x14ac:dyDescent="0.35">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x14ac:dyDescent="0.35">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x14ac:dyDescent="0.35">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x14ac:dyDescent="0.35">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x14ac:dyDescent="0.35">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x14ac:dyDescent="0.35">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x14ac:dyDescent="0.35">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x14ac:dyDescent="0.35">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x14ac:dyDescent="0.35">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x14ac:dyDescent="0.35">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x14ac:dyDescent="0.35">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x14ac:dyDescent="0.35">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x14ac:dyDescent="0.35">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x14ac:dyDescent="0.35">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x14ac:dyDescent="0.35">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x14ac:dyDescent="0.35">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x14ac:dyDescent="0.35">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x14ac:dyDescent="0.35">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x14ac:dyDescent="0.35">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x14ac:dyDescent="0.35">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x14ac:dyDescent="0.35">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x14ac:dyDescent="0.35">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x14ac:dyDescent="0.35">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x14ac:dyDescent="0.35">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x14ac:dyDescent="0.35">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x14ac:dyDescent="0.35">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x14ac:dyDescent="0.35">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x14ac:dyDescent="0.35">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x14ac:dyDescent="0.35">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x14ac:dyDescent="0.35">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x14ac:dyDescent="0.35">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x14ac:dyDescent="0.35">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x14ac:dyDescent="0.35">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x14ac:dyDescent="0.35">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x14ac:dyDescent="0.35">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x14ac:dyDescent="0.35">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x14ac:dyDescent="0.35">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x14ac:dyDescent="0.35">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x14ac:dyDescent="0.35">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x14ac:dyDescent="0.35">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x14ac:dyDescent="0.35">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x14ac:dyDescent="0.35">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x14ac:dyDescent="0.35">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x14ac:dyDescent="0.35">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x14ac:dyDescent="0.35">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x14ac:dyDescent="0.35">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x14ac:dyDescent="0.35">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x14ac:dyDescent="0.35">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x14ac:dyDescent="0.35">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x14ac:dyDescent="0.35">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x14ac:dyDescent="0.35">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x14ac:dyDescent="0.35">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x14ac:dyDescent="0.35">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x14ac:dyDescent="0.35">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x14ac:dyDescent="0.35">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x14ac:dyDescent="0.35">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x14ac:dyDescent="0.35">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x14ac:dyDescent="0.35">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x14ac:dyDescent="0.35">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x14ac:dyDescent="0.35">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x14ac:dyDescent="0.35">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x14ac:dyDescent="0.35">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x14ac:dyDescent="0.35">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x14ac:dyDescent="0.35">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x14ac:dyDescent="0.35">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x14ac:dyDescent="0.35">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x14ac:dyDescent="0.35">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x14ac:dyDescent="0.35">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x14ac:dyDescent="0.35">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x14ac:dyDescent="0.35">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x14ac:dyDescent="0.35">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x14ac:dyDescent="0.35">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x14ac:dyDescent="0.35">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x14ac:dyDescent="0.35">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x14ac:dyDescent="0.35">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x14ac:dyDescent="0.35">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x14ac:dyDescent="0.35">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x14ac:dyDescent="0.35">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x14ac:dyDescent="0.35">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x14ac:dyDescent="0.35">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x14ac:dyDescent="0.35">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x14ac:dyDescent="0.35">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x14ac:dyDescent="0.35">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x14ac:dyDescent="0.35">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x14ac:dyDescent="0.35">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x14ac:dyDescent="0.35">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x14ac:dyDescent="0.35">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x14ac:dyDescent="0.35">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x14ac:dyDescent="0.35">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x14ac:dyDescent="0.35">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x14ac:dyDescent="0.35">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x14ac:dyDescent="0.35">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x14ac:dyDescent="0.35">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x14ac:dyDescent="0.35">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x14ac:dyDescent="0.35">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x14ac:dyDescent="0.35">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x14ac:dyDescent="0.35">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x14ac:dyDescent="0.35">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x14ac:dyDescent="0.35">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x14ac:dyDescent="0.35">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x14ac:dyDescent="0.35">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x14ac:dyDescent="0.35">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x14ac:dyDescent="0.35">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x14ac:dyDescent="0.35">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x14ac:dyDescent="0.35">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x14ac:dyDescent="0.35">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x14ac:dyDescent="0.35">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x14ac:dyDescent="0.35">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x14ac:dyDescent="0.35">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x14ac:dyDescent="0.35">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x14ac:dyDescent="0.35">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x14ac:dyDescent="0.35">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x14ac:dyDescent="0.35">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x14ac:dyDescent="0.35">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x14ac:dyDescent="0.35">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x14ac:dyDescent="0.35">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x14ac:dyDescent="0.35">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x14ac:dyDescent="0.35">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x14ac:dyDescent="0.35">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x14ac:dyDescent="0.35">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x14ac:dyDescent="0.35">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x14ac:dyDescent="0.35">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x14ac:dyDescent="0.35">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c r="Q726" s="12"/>
      <c r="R726" s="13"/>
    </row>
    <row r="727" spans="1:18" ht="15.75" customHeight="1" x14ac:dyDescent="0.35">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c r="Q727" s="12"/>
      <c r="R727" s="13"/>
    </row>
    <row r="728" spans="1:18" ht="15.75" customHeight="1" x14ac:dyDescent="0.35">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c r="Q728" s="12"/>
      <c r="R728" s="13"/>
    </row>
    <row r="729" spans="1:18" ht="15.75" customHeight="1" x14ac:dyDescent="0.35">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4"/>
      <c r="Q729" s="12"/>
      <c r="R729" s="13"/>
    </row>
    <row r="730" spans="1:18" ht="15.75" customHeight="1" x14ac:dyDescent="0.35">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4"/>
      <c r="Q730" s="12"/>
      <c r="R730" s="13"/>
    </row>
    <row r="731" spans="1:18" ht="15.75" customHeight="1" x14ac:dyDescent="0.35">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4"/>
      <c r="Q731" s="12"/>
      <c r="R731" s="13"/>
    </row>
    <row r="732" spans="1:18" ht="15.75" customHeight="1" x14ac:dyDescent="0.35">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4"/>
      <c r="Q732" s="12"/>
      <c r="R732" s="13"/>
    </row>
    <row r="733" spans="1:18" ht="15.75" customHeight="1" x14ac:dyDescent="0.35">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4"/>
      <c r="Q733" s="12"/>
      <c r="R733" s="13"/>
    </row>
    <row r="734" spans="1:18" ht="15.75" customHeight="1" x14ac:dyDescent="0.35">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c r="Q734" s="12"/>
      <c r="R734" s="13"/>
    </row>
    <row r="735" spans="1:18" ht="15.75" customHeight="1" x14ac:dyDescent="0.35">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c r="Q735" s="12"/>
      <c r="R735" s="13"/>
    </row>
    <row r="736" spans="1:18" ht="15.75" customHeight="1" x14ac:dyDescent="0.35">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c r="Q736" s="12"/>
      <c r="R736" s="13"/>
    </row>
    <row r="737" spans="1:18" ht="15.75" customHeight="1" x14ac:dyDescent="0.35">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4"/>
      <c r="Q737" s="12"/>
      <c r="R737" s="13"/>
    </row>
    <row r="738" spans="1:18" ht="15.75" customHeight="1" x14ac:dyDescent="0.35">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4"/>
      <c r="Q738" s="12"/>
      <c r="R738" s="13"/>
    </row>
    <row r="739" spans="1:18" ht="15.75" customHeight="1" x14ac:dyDescent="0.35">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4"/>
      <c r="Q739" s="12"/>
      <c r="R739" s="13"/>
    </row>
    <row r="740" spans="1:18" ht="15.75" customHeight="1" x14ac:dyDescent="0.35">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4"/>
      <c r="Q740" s="12"/>
      <c r="R740" s="13"/>
    </row>
    <row r="741" spans="1:18" ht="15.75" customHeight="1" x14ac:dyDescent="0.35">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4"/>
      <c r="Q741" s="12"/>
      <c r="R741" s="13"/>
    </row>
    <row r="742" spans="1:18" ht="15.75" customHeight="1" x14ac:dyDescent="0.35">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c r="Q742" s="12"/>
      <c r="R742" s="13"/>
    </row>
    <row r="743" spans="1:18" ht="15.75" customHeight="1" x14ac:dyDescent="0.35">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c r="Q743" s="12"/>
      <c r="R743" s="13"/>
    </row>
    <row r="744" spans="1:18" ht="15.75" customHeight="1" x14ac:dyDescent="0.35">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c r="Q744" s="12"/>
      <c r="R744" s="13"/>
    </row>
    <row r="745" spans="1:18" ht="15.75" customHeight="1" x14ac:dyDescent="0.35">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4"/>
      <c r="Q745" s="12"/>
      <c r="R745" s="13"/>
    </row>
    <row r="746" spans="1:18" ht="15.75" customHeight="1" x14ac:dyDescent="0.35">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4"/>
      <c r="Q746" s="12"/>
      <c r="R746" s="13"/>
    </row>
    <row r="747" spans="1:18" ht="15.75" customHeight="1" x14ac:dyDescent="0.35">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4"/>
      <c r="Q747" s="12"/>
      <c r="R747" s="13"/>
    </row>
    <row r="748" spans="1:18" ht="15.75" customHeight="1" x14ac:dyDescent="0.35">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4"/>
      <c r="Q748" s="12"/>
      <c r="R748" s="13"/>
    </row>
    <row r="749" spans="1:18" ht="15.75" customHeight="1" x14ac:dyDescent="0.35">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4"/>
      <c r="Q749" s="12"/>
      <c r="R749" s="13"/>
    </row>
    <row r="750" spans="1:18" ht="15.75" customHeight="1" x14ac:dyDescent="0.35">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c r="Q750" s="12"/>
      <c r="R750" s="13"/>
    </row>
    <row r="751" spans="1:18" ht="15.75" customHeight="1" x14ac:dyDescent="0.35">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c r="Q751" s="12"/>
      <c r="R751" s="13"/>
    </row>
    <row r="752" spans="1:18" ht="15.75" customHeight="1" x14ac:dyDescent="0.35">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c r="Q752" s="12"/>
      <c r="R752" s="13"/>
    </row>
    <row r="753" spans="1:18" ht="15.75" customHeight="1" x14ac:dyDescent="0.35">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4"/>
      <c r="Q753" s="12"/>
      <c r="R753" s="13"/>
    </row>
    <row r="754" spans="1:18" ht="15.75" customHeight="1" x14ac:dyDescent="0.35">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4"/>
      <c r="Q754" s="12"/>
      <c r="R754" s="13"/>
    </row>
    <row r="755" spans="1:18" ht="15.75" customHeight="1" x14ac:dyDescent="0.35">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4"/>
      <c r="Q755" s="12"/>
      <c r="R755" s="13"/>
    </row>
    <row r="756" spans="1:18" ht="15.75" customHeight="1" x14ac:dyDescent="0.35">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4"/>
      <c r="Q756" s="12"/>
      <c r="R756" s="13"/>
    </row>
    <row r="757" spans="1:18" ht="15.75" customHeight="1" x14ac:dyDescent="0.35">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4"/>
      <c r="Q757" s="12"/>
      <c r="R757" s="13"/>
    </row>
    <row r="758" spans="1:18" ht="15.75" customHeight="1" x14ac:dyDescent="0.35">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c r="Q758" s="12"/>
      <c r="R758" s="13"/>
    </row>
    <row r="759" spans="1:18" ht="15.75" customHeight="1" x14ac:dyDescent="0.35">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c r="Q759" s="12"/>
      <c r="R759" s="13"/>
    </row>
    <row r="760" spans="1:18" ht="15.75" customHeight="1" x14ac:dyDescent="0.35">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c r="Q760" s="12"/>
      <c r="R760" s="13"/>
    </row>
    <row r="761" spans="1:18" ht="15.75" customHeight="1" x14ac:dyDescent="0.35">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4"/>
      <c r="Q761" s="12"/>
      <c r="R761" s="13"/>
    </row>
    <row r="762" spans="1:18" ht="15.75" customHeight="1" x14ac:dyDescent="0.35">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4"/>
      <c r="Q762" s="12"/>
      <c r="R762" s="13"/>
    </row>
    <row r="763" spans="1:18" ht="15.75" customHeight="1" x14ac:dyDescent="0.35">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4"/>
      <c r="Q763" s="12"/>
      <c r="R763" s="13"/>
    </row>
    <row r="764" spans="1:18" ht="15.75" customHeight="1" x14ac:dyDescent="0.35">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4"/>
      <c r="Q764" s="12"/>
      <c r="R764" s="13"/>
    </row>
    <row r="765" spans="1:18" ht="15.75" customHeight="1" x14ac:dyDescent="0.35">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4"/>
      <c r="Q765" s="12"/>
      <c r="R765" s="13"/>
    </row>
    <row r="766" spans="1:18" ht="15.75" customHeight="1" x14ac:dyDescent="0.35">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c r="Q766" s="12"/>
      <c r="R766" s="13"/>
    </row>
    <row r="767" spans="1:18" ht="15.75" customHeight="1" x14ac:dyDescent="0.35">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c r="Q767" s="12"/>
      <c r="R767" s="13"/>
    </row>
    <row r="768" spans="1:18" ht="15.75" customHeight="1" x14ac:dyDescent="0.35">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c r="Q768" s="12"/>
      <c r="R768" s="13"/>
    </row>
    <row r="769" spans="1:18" ht="15.75" customHeight="1" x14ac:dyDescent="0.35">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4"/>
      <c r="Q769" s="12"/>
      <c r="R769" s="13"/>
    </row>
    <row r="770" spans="1:18" ht="15.75" customHeight="1" x14ac:dyDescent="0.35">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4"/>
      <c r="Q770" s="12"/>
      <c r="R770" s="13"/>
    </row>
    <row r="771" spans="1:18" ht="15.75" customHeight="1" x14ac:dyDescent="0.35">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4"/>
      <c r="Q771" s="12"/>
      <c r="R771" s="13"/>
    </row>
    <row r="772" spans="1:18" ht="15.75" customHeight="1" x14ac:dyDescent="0.35">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4"/>
      <c r="Q772" s="12"/>
      <c r="R772" s="13"/>
    </row>
    <row r="773" spans="1:18" ht="15.75" customHeight="1" x14ac:dyDescent="0.35">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4"/>
      <c r="Q773" s="12"/>
      <c r="R773" s="13"/>
    </row>
    <row r="774" spans="1:18" ht="15.75" customHeight="1" x14ac:dyDescent="0.35">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c r="Q774" s="12"/>
      <c r="R774" s="13"/>
    </row>
    <row r="775" spans="1:18" ht="15.75" customHeight="1" x14ac:dyDescent="0.35">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c r="Q775" s="12"/>
      <c r="R775" s="13"/>
    </row>
    <row r="776" spans="1:18" ht="15.75" customHeight="1" x14ac:dyDescent="0.35">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c r="Q776" s="12"/>
      <c r="R776" s="13"/>
    </row>
    <row r="777" spans="1:18" ht="15.75" customHeight="1" x14ac:dyDescent="0.35">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4"/>
      <c r="Q777" s="12"/>
      <c r="R777" s="13"/>
    </row>
    <row r="778" spans="1:18" ht="15.75" customHeight="1" x14ac:dyDescent="0.35">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4"/>
      <c r="Q778" s="12"/>
      <c r="R778" s="13"/>
    </row>
    <row r="779" spans="1:18" ht="15.75" customHeight="1" x14ac:dyDescent="0.35">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4"/>
      <c r="Q779" s="12"/>
      <c r="R779" s="13"/>
    </row>
    <row r="780" spans="1:18" ht="15.75" customHeight="1" x14ac:dyDescent="0.35">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4"/>
      <c r="Q780" s="12"/>
      <c r="R780" s="13"/>
    </row>
    <row r="781" spans="1:18" ht="15.75" customHeight="1" x14ac:dyDescent="0.35">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4"/>
      <c r="Q781" s="12"/>
      <c r="R781" s="13"/>
    </row>
    <row r="782" spans="1:18" ht="15.75" customHeight="1" x14ac:dyDescent="0.35">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c r="Q782" s="12"/>
      <c r="R782" s="13"/>
    </row>
    <row r="783" spans="1:18" ht="15.75" customHeight="1" x14ac:dyDescent="0.35">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c r="Q783" s="12"/>
      <c r="R783" s="13"/>
    </row>
    <row r="784" spans="1:18" ht="15.75" customHeight="1" x14ac:dyDescent="0.35">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c r="Q784" s="12"/>
      <c r="R784" s="13"/>
    </row>
    <row r="785" spans="1:18" ht="15.75" customHeight="1" x14ac:dyDescent="0.35">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4"/>
      <c r="Q785" s="12"/>
      <c r="R785" s="13"/>
    </row>
    <row r="786" spans="1:18" ht="15.75" customHeight="1" x14ac:dyDescent="0.35">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4"/>
      <c r="Q786" s="12"/>
      <c r="R786" s="13"/>
    </row>
    <row r="787" spans="1:18" ht="15.75" customHeight="1" x14ac:dyDescent="0.35">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4"/>
      <c r="Q787" s="12"/>
      <c r="R787" s="13"/>
    </row>
    <row r="788" spans="1:18" ht="15.75" customHeight="1" x14ac:dyDescent="0.35">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4"/>
      <c r="Q788" s="12"/>
      <c r="R788" s="13"/>
    </row>
    <row r="789" spans="1:18" ht="15.75" customHeight="1" x14ac:dyDescent="0.35">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4"/>
      <c r="Q789" s="12"/>
      <c r="R789" s="13"/>
    </row>
    <row r="790" spans="1:18" ht="15.75" customHeight="1" x14ac:dyDescent="0.35">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c r="Q790" s="12"/>
      <c r="R790" s="13"/>
    </row>
    <row r="791" spans="1:18" ht="15.75" customHeight="1" x14ac:dyDescent="0.35">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c r="Q791" s="12"/>
      <c r="R791" s="13"/>
    </row>
    <row r="792" spans="1:18" ht="15.75" customHeight="1" x14ac:dyDescent="0.35">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c r="Q792" s="12"/>
      <c r="R792" s="13"/>
    </row>
    <row r="793" spans="1:18" ht="15.75" customHeight="1" x14ac:dyDescent="0.35">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4"/>
      <c r="Q793" s="12"/>
      <c r="R793" s="13"/>
    </row>
    <row r="794" spans="1:18" ht="15.75" customHeight="1" x14ac:dyDescent="0.35">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4"/>
      <c r="Q794" s="12"/>
      <c r="R794" s="13"/>
    </row>
    <row r="795" spans="1:18" ht="15.75" customHeight="1" x14ac:dyDescent="0.35">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4"/>
      <c r="Q795" s="12"/>
      <c r="R795" s="13"/>
    </row>
    <row r="796" spans="1:18" ht="15.75" customHeight="1" x14ac:dyDescent="0.35">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4"/>
      <c r="Q796" s="12"/>
      <c r="R796" s="13"/>
    </row>
    <row r="797" spans="1:18" ht="15.75" customHeight="1" x14ac:dyDescent="0.35">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4"/>
      <c r="Q797" s="12"/>
      <c r="R797" s="13"/>
    </row>
    <row r="798" spans="1:18" ht="15.75" customHeight="1" x14ac:dyDescent="0.35">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x14ac:dyDescent="0.35">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x14ac:dyDescent="0.35">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x14ac:dyDescent="0.35">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x14ac:dyDescent="0.35">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x14ac:dyDescent="0.35">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x14ac:dyDescent="0.35">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x14ac:dyDescent="0.35">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x14ac:dyDescent="0.35">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x14ac:dyDescent="0.35">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x14ac:dyDescent="0.35">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x14ac:dyDescent="0.35">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x14ac:dyDescent="0.35">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x14ac:dyDescent="0.35">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x14ac:dyDescent="0.35">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x14ac:dyDescent="0.35">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x14ac:dyDescent="0.35">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x14ac:dyDescent="0.35">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x14ac:dyDescent="0.35">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x14ac:dyDescent="0.35">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x14ac:dyDescent="0.35">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x14ac:dyDescent="0.35">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x14ac:dyDescent="0.35">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x14ac:dyDescent="0.35">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x14ac:dyDescent="0.35">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x14ac:dyDescent="0.35">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x14ac:dyDescent="0.35">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x14ac:dyDescent="0.35">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x14ac:dyDescent="0.35">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x14ac:dyDescent="0.35">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x14ac:dyDescent="0.35">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x14ac:dyDescent="0.35">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x14ac:dyDescent="0.35">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x14ac:dyDescent="0.35">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x14ac:dyDescent="0.35">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x14ac:dyDescent="0.35">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x14ac:dyDescent="0.35">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x14ac:dyDescent="0.35">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x14ac:dyDescent="0.35">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x14ac:dyDescent="0.35">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x14ac:dyDescent="0.35">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x14ac:dyDescent="0.35">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x14ac:dyDescent="0.35">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x14ac:dyDescent="0.35">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x14ac:dyDescent="0.35">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x14ac:dyDescent="0.35">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x14ac:dyDescent="0.35">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x14ac:dyDescent="0.35">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x14ac:dyDescent="0.35">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x14ac:dyDescent="0.35">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x14ac:dyDescent="0.35">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x14ac:dyDescent="0.35">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x14ac:dyDescent="0.35">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x14ac:dyDescent="0.35">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x14ac:dyDescent="0.35">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x14ac:dyDescent="0.35">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x14ac:dyDescent="0.35">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x14ac:dyDescent="0.35">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x14ac:dyDescent="0.35">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x14ac:dyDescent="0.35">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x14ac:dyDescent="0.35">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x14ac:dyDescent="0.35">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x14ac:dyDescent="0.35">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x14ac:dyDescent="0.35">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x14ac:dyDescent="0.35">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x14ac:dyDescent="0.35">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x14ac:dyDescent="0.35">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x14ac:dyDescent="0.35">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x14ac:dyDescent="0.35">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x14ac:dyDescent="0.35">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x14ac:dyDescent="0.35">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x14ac:dyDescent="0.35">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x14ac:dyDescent="0.35">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x14ac:dyDescent="0.35">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x14ac:dyDescent="0.35">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x14ac:dyDescent="0.35">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x14ac:dyDescent="0.35">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x14ac:dyDescent="0.35">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x14ac:dyDescent="0.35">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x14ac:dyDescent="0.35">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x14ac:dyDescent="0.35">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x14ac:dyDescent="0.35">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x14ac:dyDescent="0.35">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x14ac:dyDescent="0.35">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x14ac:dyDescent="0.35">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x14ac:dyDescent="0.35">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x14ac:dyDescent="0.35">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x14ac:dyDescent="0.35">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x14ac:dyDescent="0.35">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x14ac:dyDescent="0.35">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x14ac:dyDescent="0.35">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x14ac:dyDescent="0.35">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x14ac:dyDescent="0.35">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x14ac:dyDescent="0.35">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x14ac:dyDescent="0.35">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x14ac:dyDescent="0.35">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x14ac:dyDescent="0.35">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x14ac:dyDescent="0.35">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x14ac:dyDescent="0.35">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x14ac:dyDescent="0.35">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x14ac:dyDescent="0.35">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x14ac:dyDescent="0.35">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x14ac:dyDescent="0.35">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x14ac:dyDescent="0.35">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x14ac:dyDescent="0.35">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x14ac:dyDescent="0.35">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x14ac:dyDescent="0.35">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x14ac:dyDescent="0.35">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x14ac:dyDescent="0.35">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x14ac:dyDescent="0.35">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x14ac:dyDescent="0.35">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x14ac:dyDescent="0.35">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x14ac:dyDescent="0.35">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x14ac:dyDescent="0.35">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x14ac:dyDescent="0.35">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x14ac:dyDescent="0.35">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x14ac:dyDescent="0.35">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x14ac:dyDescent="0.35">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x14ac:dyDescent="0.35">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x14ac:dyDescent="0.35">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x14ac:dyDescent="0.35">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x14ac:dyDescent="0.35">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x14ac:dyDescent="0.35">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x14ac:dyDescent="0.35">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x14ac:dyDescent="0.35">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x14ac:dyDescent="0.35">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x14ac:dyDescent="0.35">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x14ac:dyDescent="0.35">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x14ac:dyDescent="0.35">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x14ac:dyDescent="0.35">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x14ac:dyDescent="0.35">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x14ac:dyDescent="0.35">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x14ac:dyDescent="0.35">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x14ac:dyDescent="0.35">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x14ac:dyDescent="0.35">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x14ac:dyDescent="0.35">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x14ac:dyDescent="0.35">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x14ac:dyDescent="0.35">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x14ac:dyDescent="0.35">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x14ac:dyDescent="0.35">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x14ac:dyDescent="0.35">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x14ac:dyDescent="0.35">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x14ac:dyDescent="0.35">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x14ac:dyDescent="0.35">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x14ac:dyDescent="0.35">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x14ac:dyDescent="0.35">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x14ac:dyDescent="0.35">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x14ac:dyDescent="0.35">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x14ac:dyDescent="0.35">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x14ac:dyDescent="0.35">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x14ac:dyDescent="0.35">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x14ac:dyDescent="0.35">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x14ac:dyDescent="0.35">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x14ac:dyDescent="0.35">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x14ac:dyDescent="0.35">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x14ac:dyDescent="0.35">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x14ac:dyDescent="0.35">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x14ac:dyDescent="0.35">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x14ac:dyDescent="0.35">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x14ac:dyDescent="0.35">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x14ac:dyDescent="0.35">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x14ac:dyDescent="0.35">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x14ac:dyDescent="0.35">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x14ac:dyDescent="0.35">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x14ac:dyDescent="0.35">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x14ac:dyDescent="0.35">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x14ac:dyDescent="0.35">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x14ac:dyDescent="0.35">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x14ac:dyDescent="0.35">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x14ac:dyDescent="0.35">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x14ac:dyDescent="0.35">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x14ac:dyDescent="0.35">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x14ac:dyDescent="0.35">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x14ac:dyDescent="0.35">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x14ac:dyDescent="0.35">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x14ac:dyDescent="0.35">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x14ac:dyDescent="0.35">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x14ac:dyDescent="0.35">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x14ac:dyDescent="0.35">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x14ac:dyDescent="0.35">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x14ac:dyDescent="0.35">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x14ac:dyDescent="0.35">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x14ac:dyDescent="0.35">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x14ac:dyDescent="0.35">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x14ac:dyDescent="0.35">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x14ac:dyDescent="0.35">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x14ac:dyDescent="0.35">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x14ac:dyDescent="0.35">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x14ac:dyDescent="0.35">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x14ac:dyDescent="0.35">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x14ac:dyDescent="0.35">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x14ac:dyDescent="0.35">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x14ac:dyDescent="0.35">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x14ac:dyDescent="0.35">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x14ac:dyDescent="0.35">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x14ac:dyDescent="0.35">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x14ac:dyDescent="0.35">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x14ac:dyDescent="0.35">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x14ac:dyDescent="0.35">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x14ac:dyDescent="0.35">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x14ac:dyDescent="0.35">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x14ac:dyDescent="0.35">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x14ac:dyDescent="0.35">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x14ac:dyDescent="0.35">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x14ac:dyDescent="0.35">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x14ac:dyDescent="0.35">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x14ac:dyDescent="0.35">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x14ac:dyDescent="0.35">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x14ac:dyDescent="0.35">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x14ac:dyDescent="0.35">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x14ac:dyDescent="0.35">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x14ac:dyDescent="0.35">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x14ac:dyDescent="0.35">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x14ac:dyDescent="0.35">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x14ac:dyDescent="0.35">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x14ac:dyDescent="0.35">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x14ac:dyDescent="0.35">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x14ac:dyDescent="0.35">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x14ac:dyDescent="0.35">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x14ac:dyDescent="0.35">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x14ac:dyDescent="0.35">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x14ac:dyDescent="0.35">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x14ac:dyDescent="0.35">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x14ac:dyDescent="0.35">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x14ac:dyDescent="0.35">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x14ac:dyDescent="0.35">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x14ac:dyDescent="0.35">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x14ac:dyDescent="0.35">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x14ac:dyDescent="0.35">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x14ac:dyDescent="0.35">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x14ac:dyDescent="0.35">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x14ac:dyDescent="0.35">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x14ac:dyDescent="0.35">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x14ac:dyDescent="0.35">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x14ac:dyDescent="0.35">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x14ac:dyDescent="0.35">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x14ac:dyDescent="0.35">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x14ac:dyDescent="0.35">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x14ac:dyDescent="0.35">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x14ac:dyDescent="0.35">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x14ac:dyDescent="0.35">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x14ac:dyDescent="0.35">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x14ac:dyDescent="0.35">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x14ac:dyDescent="0.35">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x14ac:dyDescent="0.35">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x14ac:dyDescent="0.35">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x14ac:dyDescent="0.35">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x14ac:dyDescent="0.35">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x14ac:dyDescent="0.35">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x14ac:dyDescent="0.35">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x14ac:dyDescent="0.35">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x14ac:dyDescent="0.35">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x14ac:dyDescent="0.35">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x14ac:dyDescent="0.35">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x14ac:dyDescent="0.35">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x14ac:dyDescent="0.35">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x14ac:dyDescent="0.35">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x14ac:dyDescent="0.35">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x14ac:dyDescent="0.35">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x14ac:dyDescent="0.35">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x14ac:dyDescent="0.35">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x14ac:dyDescent="0.35">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x14ac:dyDescent="0.35">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x14ac:dyDescent="0.35">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x14ac:dyDescent="0.35">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x14ac:dyDescent="0.35">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x14ac:dyDescent="0.35">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x14ac:dyDescent="0.35">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x14ac:dyDescent="0.35">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x14ac:dyDescent="0.35">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x14ac:dyDescent="0.35">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x14ac:dyDescent="0.35">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x14ac:dyDescent="0.35">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x14ac:dyDescent="0.35">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x14ac:dyDescent="0.35">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x14ac:dyDescent="0.35">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x14ac:dyDescent="0.35">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x14ac:dyDescent="0.35">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x14ac:dyDescent="0.35">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x14ac:dyDescent="0.35">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x14ac:dyDescent="0.35">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x14ac:dyDescent="0.35">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x14ac:dyDescent="0.35">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x14ac:dyDescent="0.35">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x14ac:dyDescent="0.35">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x14ac:dyDescent="0.35">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x14ac:dyDescent="0.35">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x14ac:dyDescent="0.35">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x14ac:dyDescent="0.35">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x14ac:dyDescent="0.35">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x14ac:dyDescent="0.35">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x14ac:dyDescent="0.35">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x14ac:dyDescent="0.35">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x14ac:dyDescent="0.35">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x14ac:dyDescent="0.35">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x14ac:dyDescent="0.35">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x14ac:dyDescent="0.35">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x14ac:dyDescent="0.35">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x14ac:dyDescent="0.35">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x14ac:dyDescent="0.35">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x14ac:dyDescent="0.35">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x14ac:dyDescent="0.35">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x14ac:dyDescent="0.35">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x14ac:dyDescent="0.35">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x14ac:dyDescent="0.35">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x14ac:dyDescent="0.35">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x14ac:dyDescent="0.35">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x14ac:dyDescent="0.35">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x14ac:dyDescent="0.35">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x14ac:dyDescent="0.35">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x14ac:dyDescent="0.35">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x14ac:dyDescent="0.35">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x14ac:dyDescent="0.35">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x14ac:dyDescent="0.35">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x14ac:dyDescent="0.35">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x14ac:dyDescent="0.35">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x14ac:dyDescent="0.35">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x14ac:dyDescent="0.35">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x14ac:dyDescent="0.35">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x14ac:dyDescent="0.35">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x14ac:dyDescent="0.35">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x14ac:dyDescent="0.35">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x14ac:dyDescent="0.35">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x14ac:dyDescent="0.35">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x14ac:dyDescent="0.35">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x14ac:dyDescent="0.35">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x14ac:dyDescent="0.35">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x14ac:dyDescent="0.35">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x14ac:dyDescent="0.35">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x14ac:dyDescent="0.35">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x14ac:dyDescent="0.35">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x14ac:dyDescent="0.35">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x14ac:dyDescent="0.35">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x14ac:dyDescent="0.35">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x14ac:dyDescent="0.35">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x14ac:dyDescent="0.35">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x14ac:dyDescent="0.35">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x14ac:dyDescent="0.35">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x14ac:dyDescent="0.35">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x14ac:dyDescent="0.35">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x14ac:dyDescent="0.35">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x14ac:dyDescent="0.35">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x14ac:dyDescent="0.35">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x14ac:dyDescent="0.35">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x14ac:dyDescent="0.35">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x14ac:dyDescent="0.35">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x14ac:dyDescent="0.35">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x14ac:dyDescent="0.35">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x14ac:dyDescent="0.35">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x14ac:dyDescent="0.35">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x14ac:dyDescent="0.35">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x14ac:dyDescent="0.35">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x14ac:dyDescent="0.35">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x14ac:dyDescent="0.35">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x14ac:dyDescent="0.35">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x14ac:dyDescent="0.35">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x14ac:dyDescent="0.35">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x14ac:dyDescent="0.35">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x14ac:dyDescent="0.35">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x14ac:dyDescent="0.35">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x14ac:dyDescent="0.35">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x14ac:dyDescent="0.35">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x14ac:dyDescent="0.35">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x14ac:dyDescent="0.35">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x14ac:dyDescent="0.35">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x14ac:dyDescent="0.35">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x14ac:dyDescent="0.35">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x14ac:dyDescent="0.35">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x14ac:dyDescent="0.35">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x14ac:dyDescent="0.35">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x14ac:dyDescent="0.35">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x14ac:dyDescent="0.35">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x14ac:dyDescent="0.35">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x14ac:dyDescent="0.35">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x14ac:dyDescent="0.35">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x14ac:dyDescent="0.35">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x14ac:dyDescent="0.35">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x14ac:dyDescent="0.35">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x14ac:dyDescent="0.35">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x14ac:dyDescent="0.35">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x14ac:dyDescent="0.35">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x14ac:dyDescent="0.35">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x14ac:dyDescent="0.35">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x14ac:dyDescent="0.35">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x14ac:dyDescent="0.35">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x14ac:dyDescent="0.35">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x14ac:dyDescent="0.35">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x14ac:dyDescent="0.35">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x14ac:dyDescent="0.35">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x14ac:dyDescent="0.35">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x14ac:dyDescent="0.35">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x14ac:dyDescent="0.35">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x14ac:dyDescent="0.35">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x14ac:dyDescent="0.35">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x14ac:dyDescent="0.35">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x14ac:dyDescent="0.35">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x14ac:dyDescent="0.35">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x14ac:dyDescent="0.35">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x14ac:dyDescent="0.35">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x14ac:dyDescent="0.35">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x14ac:dyDescent="0.35">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x14ac:dyDescent="0.35">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x14ac:dyDescent="0.35">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x14ac:dyDescent="0.35">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x14ac:dyDescent="0.35">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x14ac:dyDescent="0.35">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x14ac:dyDescent="0.35">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x14ac:dyDescent="0.35">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x14ac:dyDescent="0.35">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x14ac:dyDescent="0.35">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x14ac:dyDescent="0.35">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x14ac:dyDescent="0.35">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x14ac:dyDescent="0.35">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x14ac:dyDescent="0.35">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x14ac:dyDescent="0.35">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x14ac:dyDescent="0.35">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x14ac:dyDescent="0.35">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x14ac:dyDescent="0.35">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x14ac:dyDescent="0.35">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x14ac:dyDescent="0.35">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x14ac:dyDescent="0.35">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x14ac:dyDescent="0.35">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x14ac:dyDescent="0.35">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x14ac:dyDescent="0.35">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x14ac:dyDescent="0.35">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x14ac:dyDescent="0.35">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x14ac:dyDescent="0.35">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x14ac:dyDescent="0.35">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x14ac:dyDescent="0.35">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x14ac:dyDescent="0.35">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x14ac:dyDescent="0.35">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x14ac:dyDescent="0.35">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x14ac:dyDescent="0.35">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x14ac:dyDescent="0.35">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x14ac:dyDescent="0.35">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x14ac:dyDescent="0.35">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x14ac:dyDescent="0.35">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x14ac:dyDescent="0.35">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x14ac:dyDescent="0.35">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x14ac:dyDescent="0.35">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x14ac:dyDescent="0.35">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x14ac:dyDescent="0.35">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x14ac:dyDescent="0.35">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x14ac:dyDescent="0.35">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x14ac:dyDescent="0.35">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x14ac:dyDescent="0.35">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x14ac:dyDescent="0.35">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x14ac:dyDescent="0.35">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x14ac:dyDescent="0.35">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x14ac:dyDescent="0.35">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x14ac:dyDescent="0.35">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x14ac:dyDescent="0.35">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x14ac:dyDescent="0.35">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x14ac:dyDescent="0.35">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x14ac:dyDescent="0.35">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x14ac:dyDescent="0.35">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x14ac:dyDescent="0.35">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x14ac:dyDescent="0.35">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x14ac:dyDescent="0.35">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x14ac:dyDescent="0.35">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x14ac:dyDescent="0.35">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x14ac:dyDescent="0.35">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x14ac:dyDescent="0.35">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x14ac:dyDescent="0.35">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x14ac:dyDescent="0.35">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x14ac:dyDescent="0.35">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x14ac:dyDescent="0.35">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x14ac:dyDescent="0.35">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x14ac:dyDescent="0.35">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x14ac:dyDescent="0.35">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x14ac:dyDescent="0.35">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x14ac:dyDescent="0.35">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x14ac:dyDescent="0.35">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x14ac:dyDescent="0.35">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x14ac:dyDescent="0.35">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x14ac:dyDescent="0.35">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x14ac:dyDescent="0.35">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x14ac:dyDescent="0.35">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x14ac:dyDescent="0.35">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x14ac:dyDescent="0.35">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x14ac:dyDescent="0.35">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x14ac:dyDescent="0.35">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x14ac:dyDescent="0.35">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x14ac:dyDescent="0.35">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x14ac:dyDescent="0.35">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x14ac:dyDescent="0.35">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x14ac:dyDescent="0.35">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x14ac:dyDescent="0.35">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x14ac:dyDescent="0.35">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x14ac:dyDescent="0.35">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x14ac:dyDescent="0.35">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x14ac:dyDescent="0.35">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x14ac:dyDescent="0.35">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x14ac:dyDescent="0.35">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x14ac:dyDescent="0.35">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x14ac:dyDescent="0.35">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x14ac:dyDescent="0.35">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x14ac:dyDescent="0.35">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x14ac:dyDescent="0.35">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x14ac:dyDescent="0.35">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x14ac:dyDescent="0.35">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x14ac:dyDescent="0.35">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x14ac:dyDescent="0.35">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x14ac:dyDescent="0.35">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x14ac:dyDescent="0.35">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x14ac:dyDescent="0.35">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x14ac:dyDescent="0.35">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x14ac:dyDescent="0.35">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x14ac:dyDescent="0.35">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x14ac:dyDescent="0.35">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x14ac:dyDescent="0.35">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x14ac:dyDescent="0.35">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x14ac:dyDescent="0.35">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x14ac:dyDescent="0.35">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x14ac:dyDescent="0.35">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x14ac:dyDescent="0.35">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x14ac:dyDescent="0.35">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x14ac:dyDescent="0.35">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x14ac:dyDescent="0.35">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x14ac:dyDescent="0.35">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x14ac:dyDescent="0.35">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x14ac:dyDescent="0.35">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x14ac:dyDescent="0.35">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x14ac:dyDescent="0.35">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x14ac:dyDescent="0.35">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x14ac:dyDescent="0.35">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x14ac:dyDescent="0.35">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x14ac:dyDescent="0.35">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x14ac:dyDescent="0.35">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x14ac:dyDescent="0.35">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x14ac:dyDescent="0.35">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x14ac:dyDescent="0.35">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x14ac:dyDescent="0.35">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x14ac:dyDescent="0.35">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x14ac:dyDescent="0.35">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x14ac:dyDescent="0.35">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x14ac:dyDescent="0.35">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x14ac:dyDescent="0.35">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x14ac:dyDescent="0.35">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x14ac:dyDescent="0.35">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x14ac:dyDescent="0.35">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x14ac:dyDescent="0.35">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x14ac:dyDescent="0.35">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x14ac:dyDescent="0.35">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x14ac:dyDescent="0.35">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x14ac:dyDescent="0.35">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x14ac:dyDescent="0.35">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x14ac:dyDescent="0.35">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x14ac:dyDescent="0.35">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x14ac:dyDescent="0.35">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x14ac:dyDescent="0.35">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x14ac:dyDescent="0.35">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x14ac:dyDescent="0.35">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x14ac:dyDescent="0.35">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x14ac:dyDescent="0.35">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x14ac:dyDescent="0.35">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x14ac:dyDescent="0.35">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x14ac:dyDescent="0.35">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x14ac:dyDescent="0.35">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x14ac:dyDescent="0.35">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x14ac:dyDescent="0.35">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x14ac:dyDescent="0.35">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x14ac:dyDescent="0.35">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x14ac:dyDescent="0.35">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x14ac:dyDescent="0.35">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x14ac:dyDescent="0.35">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x14ac:dyDescent="0.35">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x14ac:dyDescent="0.35">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x14ac:dyDescent="0.35">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x14ac:dyDescent="0.35">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x14ac:dyDescent="0.35">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x14ac:dyDescent="0.35">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x14ac:dyDescent="0.35">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x14ac:dyDescent="0.35">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x14ac:dyDescent="0.35">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x14ac:dyDescent="0.35">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x14ac:dyDescent="0.35">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x14ac:dyDescent="0.35">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x14ac:dyDescent="0.35">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x14ac:dyDescent="0.35">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x14ac:dyDescent="0.35">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x14ac:dyDescent="0.35">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x14ac:dyDescent="0.35">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x14ac:dyDescent="0.35">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x14ac:dyDescent="0.35">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x14ac:dyDescent="0.35">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x14ac:dyDescent="0.35">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x14ac:dyDescent="0.35">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x14ac:dyDescent="0.35">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x14ac:dyDescent="0.35">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x14ac:dyDescent="0.35">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x14ac:dyDescent="0.35">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x14ac:dyDescent="0.35">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x14ac:dyDescent="0.35">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x14ac:dyDescent="0.35">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x14ac:dyDescent="0.35">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x14ac:dyDescent="0.35">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x14ac:dyDescent="0.35">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x14ac:dyDescent="0.35">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x14ac:dyDescent="0.35">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x14ac:dyDescent="0.35">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x14ac:dyDescent="0.35">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x14ac:dyDescent="0.35">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x14ac:dyDescent="0.35">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x14ac:dyDescent="0.35">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x14ac:dyDescent="0.35">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x14ac:dyDescent="0.35">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x14ac:dyDescent="0.35">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x14ac:dyDescent="0.35">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x14ac:dyDescent="0.35">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x14ac:dyDescent="0.35">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x14ac:dyDescent="0.35">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x14ac:dyDescent="0.35">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x14ac:dyDescent="0.35">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x14ac:dyDescent="0.35">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x14ac:dyDescent="0.35">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x14ac:dyDescent="0.35">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x14ac:dyDescent="0.35">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x14ac:dyDescent="0.35">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x14ac:dyDescent="0.35">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x14ac:dyDescent="0.35">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x14ac:dyDescent="0.35">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x14ac:dyDescent="0.35">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x14ac:dyDescent="0.35">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x14ac:dyDescent="0.35">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x14ac:dyDescent="0.35">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x14ac:dyDescent="0.35">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x14ac:dyDescent="0.35">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x14ac:dyDescent="0.35">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x14ac:dyDescent="0.35">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x14ac:dyDescent="0.35">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x14ac:dyDescent="0.35">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x14ac:dyDescent="0.35">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x14ac:dyDescent="0.35">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x14ac:dyDescent="0.35">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x14ac:dyDescent="0.35">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x14ac:dyDescent="0.35">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x14ac:dyDescent="0.35">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x14ac:dyDescent="0.35">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x14ac:dyDescent="0.35">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x14ac:dyDescent="0.35">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x14ac:dyDescent="0.35">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x14ac:dyDescent="0.35">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x14ac:dyDescent="0.35">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x14ac:dyDescent="0.35">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x14ac:dyDescent="0.35">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x14ac:dyDescent="0.35">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x14ac:dyDescent="0.35">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x14ac:dyDescent="0.35">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x14ac:dyDescent="0.35">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x14ac:dyDescent="0.35">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x14ac:dyDescent="0.35">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x14ac:dyDescent="0.35">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x14ac:dyDescent="0.35">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x14ac:dyDescent="0.35">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x14ac:dyDescent="0.35">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x14ac:dyDescent="0.35">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x14ac:dyDescent="0.35">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x14ac:dyDescent="0.35">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x14ac:dyDescent="0.35">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x14ac:dyDescent="0.35">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x14ac:dyDescent="0.35">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x14ac:dyDescent="0.35">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x14ac:dyDescent="0.35">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x14ac:dyDescent="0.35">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x14ac:dyDescent="0.35">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x14ac:dyDescent="0.35">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x14ac:dyDescent="0.35">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x14ac:dyDescent="0.35">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x14ac:dyDescent="0.35">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x14ac:dyDescent="0.35">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x14ac:dyDescent="0.35">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x14ac:dyDescent="0.35">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x14ac:dyDescent="0.35">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x14ac:dyDescent="0.35">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x14ac:dyDescent="0.35">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x14ac:dyDescent="0.35">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x14ac:dyDescent="0.35">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x14ac:dyDescent="0.35">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x14ac:dyDescent="0.35">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x14ac:dyDescent="0.35">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x14ac:dyDescent="0.35">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x14ac:dyDescent="0.35">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x14ac:dyDescent="0.35">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x14ac:dyDescent="0.35">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x14ac:dyDescent="0.35">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x14ac:dyDescent="0.35">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x14ac:dyDescent="0.35">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x14ac:dyDescent="0.35">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x14ac:dyDescent="0.35">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x14ac:dyDescent="0.35">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x14ac:dyDescent="0.35">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x14ac:dyDescent="0.35">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x14ac:dyDescent="0.35">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x14ac:dyDescent="0.35">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x14ac:dyDescent="0.35">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x14ac:dyDescent="0.35">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x14ac:dyDescent="0.35">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x14ac:dyDescent="0.35">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x14ac:dyDescent="0.35">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x14ac:dyDescent="0.35">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x14ac:dyDescent="0.35">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x14ac:dyDescent="0.35">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x14ac:dyDescent="0.35">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x14ac:dyDescent="0.35">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x14ac:dyDescent="0.35">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x14ac:dyDescent="0.35">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x14ac:dyDescent="0.35">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x14ac:dyDescent="0.35">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x14ac:dyDescent="0.35">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x14ac:dyDescent="0.35">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x14ac:dyDescent="0.35">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x14ac:dyDescent="0.35">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x14ac:dyDescent="0.35">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x14ac:dyDescent="0.35">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x14ac:dyDescent="0.35">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x14ac:dyDescent="0.35">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x14ac:dyDescent="0.35">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x14ac:dyDescent="0.35">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x14ac:dyDescent="0.35">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x14ac:dyDescent="0.35">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x14ac:dyDescent="0.35">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x14ac:dyDescent="0.35">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x14ac:dyDescent="0.35">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x14ac:dyDescent="0.35">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x14ac:dyDescent="0.35">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x14ac:dyDescent="0.35">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x14ac:dyDescent="0.35">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x14ac:dyDescent="0.35">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x14ac:dyDescent="0.35">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x14ac:dyDescent="0.35">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x14ac:dyDescent="0.35">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x14ac:dyDescent="0.35">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x14ac:dyDescent="0.35">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x14ac:dyDescent="0.35">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x14ac:dyDescent="0.35">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x14ac:dyDescent="0.35">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x14ac:dyDescent="0.35">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x14ac:dyDescent="0.35">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x14ac:dyDescent="0.35">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x14ac:dyDescent="0.35">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x14ac:dyDescent="0.35">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x14ac:dyDescent="0.35">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x14ac:dyDescent="0.35">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x14ac:dyDescent="0.35">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x14ac:dyDescent="0.35">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x14ac:dyDescent="0.35">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x14ac:dyDescent="0.35">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x14ac:dyDescent="0.35">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x14ac:dyDescent="0.35">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x14ac:dyDescent="0.35">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x14ac:dyDescent="0.35">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x14ac:dyDescent="0.35">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x14ac:dyDescent="0.35">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x14ac:dyDescent="0.35">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x14ac:dyDescent="0.35">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x14ac:dyDescent="0.35">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x14ac:dyDescent="0.35">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x14ac:dyDescent="0.35">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x14ac:dyDescent="0.35">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x14ac:dyDescent="0.35">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x14ac:dyDescent="0.35">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x14ac:dyDescent="0.35">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x14ac:dyDescent="0.35">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x14ac:dyDescent="0.35">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x14ac:dyDescent="0.35">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x14ac:dyDescent="0.35">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x14ac:dyDescent="0.35">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x14ac:dyDescent="0.35">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x14ac:dyDescent="0.35">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x14ac:dyDescent="0.35">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x14ac:dyDescent="0.35">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x14ac:dyDescent="0.35">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x14ac:dyDescent="0.35">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x14ac:dyDescent="0.35">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x14ac:dyDescent="0.35">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x14ac:dyDescent="0.35">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x14ac:dyDescent="0.35">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x14ac:dyDescent="0.35">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x14ac:dyDescent="0.35">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x14ac:dyDescent="0.35">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x14ac:dyDescent="0.35">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x14ac:dyDescent="0.35">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x14ac:dyDescent="0.35">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x14ac:dyDescent="0.35">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x14ac:dyDescent="0.35">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x14ac:dyDescent="0.35">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x14ac:dyDescent="0.35">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x14ac:dyDescent="0.35">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x14ac:dyDescent="0.35">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x14ac:dyDescent="0.35">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x14ac:dyDescent="0.35">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x14ac:dyDescent="0.35">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x14ac:dyDescent="0.35">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x14ac:dyDescent="0.35">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x14ac:dyDescent="0.35">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x14ac:dyDescent="0.35">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x14ac:dyDescent="0.35">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x14ac:dyDescent="0.35">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x14ac:dyDescent="0.35">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x14ac:dyDescent="0.35">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x14ac:dyDescent="0.35">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x14ac:dyDescent="0.35">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x14ac:dyDescent="0.35">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x14ac:dyDescent="0.35">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x14ac:dyDescent="0.35">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x14ac:dyDescent="0.35">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x14ac:dyDescent="0.35">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x14ac:dyDescent="0.35">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x14ac:dyDescent="0.35">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x14ac:dyDescent="0.35">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x14ac:dyDescent="0.35">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x14ac:dyDescent="0.35">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x14ac:dyDescent="0.35">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x14ac:dyDescent="0.35">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x14ac:dyDescent="0.35">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x14ac:dyDescent="0.35">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x14ac:dyDescent="0.35">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x14ac:dyDescent="0.35">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x14ac:dyDescent="0.35">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x14ac:dyDescent="0.35">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x14ac:dyDescent="0.35">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x14ac:dyDescent="0.35">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x14ac:dyDescent="0.35">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x14ac:dyDescent="0.35">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x14ac:dyDescent="0.35">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x14ac:dyDescent="0.35">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x14ac:dyDescent="0.35">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x14ac:dyDescent="0.35">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x14ac:dyDescent="0.35">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x14ac:dyDescent="0.35">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x14ac:dyDescent="0.35">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x14ac:dyDescent="0.35">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x14ac:dyDescent="0.35">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x14ac:dyDescent="0.35">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x14ac:dyDescent="0.35">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x14ac:dyDescent="0.35">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x14ac:dyDescent="0.35">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x14ac:dyDescent="0.35">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x14ac:dyDescent="0.35">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x14ac:dyDescent="0.35">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x14ac:dyDescent="0.35">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x14ac:dyDescent="0.35">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x14ac:dyDescent="0.35">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x14ac:dyDescent="0.35">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x14ac:dyDescent="0.35">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x14ac:dyDescent="0.35">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x14ac:dyDescent="0.35">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x14ac:dyDescent="0.35">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x14ac:dyDescent="0.35">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x14ac:dyDescent="0.35">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x14ac:dyDescent="0.35">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x14ac:dyDescent="0.35">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x14ac:dyDescent="0.35">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x14ac:dyDescent="0.35">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x14ac:dyDescent="0.35">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x14ac:dyDescent="0.35">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x14ac:dyDescent="0.35">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x14ac:dyDescent="0.35">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x14ac:dyDescent="0.35">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x14ac:dyDescent="0.35">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x14ac:dyDescent="0.35">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x14ac:dyDescent="0.35">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x14ac:dyDescent="0.35">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x14ac:dyDescent="0.35">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x14ac:dyDescent="0.35">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x14ac:dyDescent="0.35">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x14ac:dyDescent="0.35">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x14ac:dyDescent="0.35">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x14ac:dyDescent="0.35">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x14ac:dyDescent="0.35">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x14ac:dyDescent="0.35">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x14ac:dyDescent="0.35">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x14ac:dyDescent="0.35">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x14ac:dyDescent="0.35">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x14ac:dyDescent="0.35">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x14ac:dyDescent="0.35">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x14ac:dyDescent="0.35">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x14ac:dyDescent="0.35">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x14ac:dyDescent="0.35">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x14ac:dyDescent="0.35">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x14ac:dyDescent="0.35">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x14ac:dyDescent="0.35">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x14ac:dyDescent="0.35">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x14ac:dyDescent="0.35">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x14ac:dyDescent="0.35">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x14ac:dyDescent="0.35">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x14ac:dyDescent="0.35">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x14ac:dyDescent="0.35">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x14ac:dyDescent="0.35">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x14ac:dyDescent="0.35">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x14ac:dyDescent="0.35">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x14ac:dyDescent="0.35">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x14ac:dyDescent="0.35">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x14ac:dyDescent="0.35">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x14ac:dyDescent="0.35">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x14ac:dyDescent="0.35">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x14ac:dyDescent="0.35">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x14ac:dyDescent="0.35">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x14ac:dyDescent="0.35">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x14ac:dyDescent="0.35">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x14ac:dyDescent="0.35">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x14ac:dyDescent="0.35">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x14ac:dyDescent="0.35">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x14ac:dyDescent="0.35">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x14ac:dyDescent="0.35">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x14ac:dyDescent="0.35">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x14ac:dyDescent="0.35">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x14ac:dyDescent="0.35">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x14ac:dyDescent="0.35">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x14ac:dyDescent="0.35">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x14ac:dyDescent="0.35">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x14ac:dyDescent="0.35">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x14ac:dyDescent="0.35">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x14ac:dyDescent="0.35">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x14ac:dyDescent="0.35">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x14ac:dyDescent="0.35">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x14ac:dyDescent="0.35">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x14ac:dyDescent="0.35">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x14ac:dyDescent="0.35">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x14ac:dyDescent="0.35">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x14ac:dyDescent="0.35">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x14ac:dyDescent="0.35">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x14ac:dyDescent="0.35">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x14ac:dyDescent="0.35">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x14ac:dyDescent="0.35">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x14ac:dyDescent="0.35">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x14ac:dyDescent="0.35">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x14ac:dyDescent="0.35">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x14ac:dyDescent="0.35">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x14ac:dyDescent="0.35">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x14ac:dyDescent="0.35">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x14ac:dyDescent="0.35">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x14ac:dyDescent="0.35">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x14ac:dyDescent="0.35">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x14ac:dyDescent="0.35">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x14ac:dyDescent="0.35">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x14ac:dyDescent="0.35">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x14ac:dyDescent="0.35">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x14ac:dyDescent="0.35">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x14ac:dyDescent="0.35">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x14ac:dyDescent="0.35">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x14ac:dyDescent="0.35">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x14ac:dyDescent="0.35">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x14ac:dyDescent="0.35">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x14ac:dyDescent="0.35">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x14ac:dyDescent="0.35">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x14ac:dyDescent="0.35">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x14ac:dyDescent="0.35">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x14ac:dyDescent="0.35">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x14ac:dyDescent="0.35">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x14ac:dyDescent="0.35">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x14ac:dyDescent="0.35">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x14ac:dyDescent="0.35">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x14ac:dyDescent="0.35">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x14ac:dyDescent="0.35">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x14ac:dyDescent="0.35">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x14ac:dyDescent="0.35">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x14ac:dyDescent="0.35">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x14ac:dyDescent="0.35">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x14ac:dyDescent="0.35">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x14ac:dyDescent="0.35">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x14ac:dyDescent="0.35">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x14ac:dyDescent="0.35">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x14ac:dyDescent="0.35">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x14ac:dyDescent="0.35">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x14ac:dyDescent="0.35">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x14ac:dyDescent="0.35">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x14ac:dyDescent="0.35">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x14ac:dyDescent="0.35">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x14ac:dyDescent="0.35">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x14ac:dyDescent="0.35">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x14ac:dyDescent="0.35">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x14ac:dyDescent="0.35">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x14ac:dyDescent="0.35">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x14ac:dyDescent="0.35">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x14ac:dyDescent="0.35">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x14ac:dyDescent="0.35">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x14ac:dyDescent="0.35">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x14ac:dyDescent="0.35">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x14ac:dyDescent="0.35">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x14ac:dyDescent="0.35">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x14ac:dyDescent="0.35">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x14ac:dyDescent="0.35">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x14ac:dyDescent="0.35">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x14ac:dyDescent="0.35">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x14ac:dyDescent="0.35">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x14ac:dyDescent="0.35">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x14ac:dyDescent="0.35">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x14ac:dyDescent="0.35">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x14ac:dyDescent="0.35">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x14ac:dyDescent="0.35">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x14ac:dyDescent="0.35">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x14ac:dyDescent="0.35">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x14ac:dyDescent="0.35">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x14ac:dyDescent="0.35">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x14ac:dyDescent="0.35">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x14ac:dyDescent="0.35">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x14ac:dyDescent="0.35">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x14ac:dyDescent="0.35">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x14ac:dyDescent="0.35">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x14ac:dyDescent="0.35">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x14ac:dyDescent="0.35">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x14ac:dyDescent="0.35">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x14ac:dyDescent="0.35">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x14ac:dyDescent="0.35">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x14ac:dyDescent="0.35">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x14ac:dyDescent="0.35">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x14ac:dyDescent="0.35">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x14ac:dyDescent="0.35">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x14ac:dyDescent="0.35">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x14ac:dyDescent="0.35">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x14ac:dyDescent="0.35">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x14ac:dyDescent="0.35">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x14ac:dyDescent="0.35">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x14ac:dyDescent="0.35">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x14ac:dyDescent="0.35">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x14ac:dyDescent="0.35">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x14ac:dyDescent="0.35">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x14ac:dyDescent="0.35">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x14ac:dyDescent="0.35">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x14ac:dyDescent="0.35">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x14ac:dyDescent="0.35">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x14ac:dyDescent="0.35">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x14ac:dyDescent="0.35">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x14ac:dyDescent="0.35">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x14ac:dyDescent="0.35">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x14ac:dyDescent="0.35">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x14ac:dyDescent="0.35">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x14ac:dyDescent="0.35">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x14ac:dyDescent="0.35">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x14ac:dyDescent="0.35">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x14ac:dyDescent="0.35">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x14ac:dyDescent="0.35">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x14ac:dyDescent="0.35">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x14ac:dyDescent="0.35">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x14ac:dyDescent="0.35">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x14ac:dyDescent="0.35">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x14ac:dyDescent="0.35">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x14ac:dyDescent="0.35">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x14ac:dyDescent="0.35">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x14ac:dyDescent="0.35">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x14ac:dyDescent="0.35">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x14ac:dyDescent="0.35">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x14ac:dyDescent="0.35">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x14ac:dyDescent="0.35">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x14ac:dyDescent="0.35">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x14ac:dyDescent="0.35">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x14ac:dyDescent="0.35">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x14ac:dyDescent="0.35">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x14ac:dyDescent="0.35">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x14ac:dyDescent="0.35">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x14ac:dyDescent="0.35">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x14ac:dyDescent="0.35">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x14ac:dyDescent="0.35">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x14ac:dyDescent="0.35">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x14ac:dyDescent="0.35">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x14ac:dyDescent="0.35">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x14ac:dyDescent="0.35">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x14ac:dyDescent="0.35">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x14ac:dyDescent="0.35">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x14ac:dyDescent="0.35">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x14ac:dyDescent="0.35">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x14ac:dyDescent="0.35">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x14ac:dyDescent="0.35">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x14ac:dyDescent="0.35">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x14ac:dyDescent="0.35">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x14ac:dyDescent="0.35">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x14ac:dyDescent="0.35">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x14ac:dyDescent="0.35">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x14ac:dyDescent="0.35">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x14ac:dyDescent="0.35">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x14ac:dyDescent="0.35">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x14ac:dyDescent="0.35">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x14ac:dyDescent="0.35">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x14ac:dyDescent="0.35">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x14ac:dyDescent="0.35">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x14ac:dyDescent="0.35">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x14ac:dyDescent="0.35">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x14ac:dyDescent="0.35">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x14ac:dyDescent="0.35">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x14ac:dyDescent="0.35">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x14ac:dyDescent="0.35">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x14ac:dyDescent="0.35">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x14ac:dyDescent="0.35">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x14ac:dyDescent="0.35">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x14ac:dyDescent="0.35">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x14ac:dyDescent="0.35">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x14ac:dyDescent="0.35">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x14ac:dyDescent="0.35">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x14ac:dyDescent="0.35">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x14ac:dyDescent="0.35">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x14ac:dyDescent="0.35">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x14ac:dyDescent="0.35">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x14ac:dyDescent="0.35">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x14ac:dyDescent="0.35">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x14ac:dyDescent="0.35">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x14ac:dyDescent="0.35">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x14ac:dyDescent="0.35">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x14ac:dyDescent="0.35">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x14ac:dyDescent="0.35">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x14ac:dyDescent="0.35">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x14ac:dyDescent="0.35">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x14ac:dyDescent="0.35">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x14ac:dyDescent="0.35">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x14ac:dyDescent="0.35">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x14ac:dyDescent="0.35">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x14ac:dyDescent="0.35">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x14ac:dyDescent="0.35">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x14ac:dyDescent="0.35">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x14ac:dyDescent="0.35">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x14ac:dyDescent="0.35">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x14ac:dyDescent="0.35">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x14ac:dyDescent="0.35">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x14ac:dyDescent="0.35">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x14ac:dyDescent="0.35">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x14ac:dyDescent="0.35">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x14ac:dyDescent="0.35">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x14ac:dyDescent="0.35">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x14ac:dyDescent="0.35">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x14ac:dyDescent="0.35">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x14ac:dyDescent="0.35">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x14ac:dyDescent="0.35">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x14ac:dyDescent="0.35">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x14ac:dyDescent="0.35">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x14ac:dyDescent="0.35">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x14ac:dyDescent="0.35">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x14ac:dyDescent="0.35">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x14ac:dyDescent="0.35">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x14ac:dyDescent="0.35">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x14ac:dyDescent="0.35">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x14ac:dyDescent="0.35">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x14ac:dyDescent="0.35">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x14ac:dyDescent="0.35">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x14ac:dyDescent="0.35">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x14ac:dyDescent="0.35">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x14ac:dyDescent="0.35">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x14ac:dyDescent="0.35">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x14ac:dyDescent="0.35">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x14ac:dyDescent="0.35">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x14ac:dyDescent="0.35">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x14ac:dyDescent="0.35">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x14ac:dyDescent="0.35">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x14ac:dyDescent="0.35">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x14ac:dyDescent="0.35">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x14ac:dyDescent="0.35">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x14ac:dyDescent="0.35">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x14ac:dyDescent="0.35">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x14ac:dyDescent="0.35">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x14ac:dyDescent="0.35">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x14ac:dyDescent="0.35">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x14ac:dyDescent="0.35">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x14ac:dyDescent="0.35">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x14ac:dyDescent="0.35">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x14ac:dyDescent="0.35">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x14ac:dyDescent="0.35">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x14ac:dyDescent="0.35">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x14ac:dyDescent="0.35">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x14ac:dyDescent="0.35">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x14ac:dyDescent="0.35">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x14ac:dyDescent="0.35">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x14ac:dyDescent="0.35">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x14ac:dyDescent="0.35">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x14ac:dyDescent="0.35">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x14ac:dyDescent="0.35">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x14ac:dyDescent="0.35">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x14ac:dyDescent="0.35">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x14ac:dyDescent="0.35">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x14ac:dyDescent="0.35">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x14ac:dyDescent="0.35">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x14ac:dyDescent="0.35">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x14ac:dyDescent="0.35">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x14ac:dyDescent="0.35">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x14ac:dyDescent="0.35">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x14ac:dyDescent="0.35">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x14ac:dyDescent="0.35">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x14ac:dyDescent="0.35">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x14ac:dyDescent="0.35">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x14ac:dyDescent="0.35">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x14ac:dyDescent="0.35">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x14ac:dyDescent="0.35">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x14ac:dyDescent="0.35">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x14ac:dyDescent="0.35">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x14ac:dyDescent="0.35">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x14ac:dyDescent="0.35">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x14ac:dyDescent="0.35">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x14ac:dyDescent="0.35">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x14ac:dyDescent="0.35">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x14ac:dyDescent="0.35">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x14ac:dyDescent="0.35">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x14ac:dyDescent="0.35">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x14ac:dyDescent="0.35">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x14ac:dyDescent="0.35">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x14ac:dyDescent="0.35">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x14ac:dyDescent="0.35">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x14ac:dyDescent="0.35">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x14ac:dyDescent="0.35">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x14ac:dyDescent="0.35">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x14ac:dyDescent="0.35">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x14ac:dyDescent="0.35">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x14ac:dyDescent="0.35">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x14ac:dyDescent="0.35">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x14ac:dyDescent="0.35">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x14ac:dyDescent="0.35">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x14ac:dyDescent="0.35">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x14ac:dyDescent="0.35">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x14ac:dyDescent="0.35">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x14ac:dyDescent="0.35">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x14ac:dyDescent="0.35">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x14ac:dyDescent="0.35">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x14ac:dyDescent="0.35">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x14ac:dyDescent="0.35">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x14ac:dyDescent="0.35">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x14ac:dyDescent="0.35">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x14ac:dyDescent="0.35">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x14ac:dyDescent="0.35">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x14ac:dyDescent="0.35">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x14ac:dyDescent="0.35">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x14ac:dyDescent="0.35">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x14ac:dyDescent="0.35">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x14ac:dyDescent="0.35">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x14ac:dyDescent="0.35">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x14ac:dyDescent="0.35">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x14ac:dyDescent="0.35">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x14ac:dyDescent="0.35">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x14ac:dyDescent="0.35">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x14ac:dyDescent="0.35">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x14ac:dyDescent="0.35">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x14ac:dyDescent="0.35">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x14ac:dyDescent="0.35">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x14ac:dyDescent="0.35">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x14ac:dyDescent="0.35">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x14ac:dyDescent="0.35">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x14ac:dyDescent="0.35">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x14ac:dyDescent="0.35">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x14ac:dyDescent="0.35">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x14ac:dyDescent="0.35">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x14ac:dyDescent="0.35">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x14ac:dyDescent="0.35">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x14ac:dyDescent="0.35">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x14ac:dyDescent="0.35">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x14ac:dyDescent="0.35">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x14ac:dyDescent="0.35">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x14ac:dyDescent="0.35">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x14ac:dyDescent="0.35">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x14ac:dyDescent="0.35">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x14ac:dyDescent="0.35">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x14ac:dyDescent="0.35">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x14ac:dyDescent="0.35">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x14ac:dyDescent="0.35">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x14ac:dyDescent="0.35">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x14ac:dyDescent="0.35">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x14ac:dyDescent="0.35">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x14ac:dyDescent="0.35">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x14ac:dyDescent="0.35">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x14ac:dyDescent="0.35">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x14ac:dyDescent="0.35">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x14ac:dyDescent="0.35">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x14ac:dyDescent="0.35">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x14ac:dyDescent="0.35">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x14ac:dyDescent="0.35">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x14ac:dyDescent="0.35">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x14ac:dyDescent="0.35">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x14ac:dyDescent="0.35">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x14ac:dyDescent="0.35">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x14ac:dyDescent="0.35">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x14ac:dyDescent="0.35">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x14ac:dyDescent="0.35">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x14ac:dyDescent="0.35">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x14ac:dyDescent="0.35">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x14ac:dyDescent="0.35">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x14ac:dyDescent="0.35">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x14ac:dyDescent="0.35">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x14ac:dyDescent="0.35">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x14ac:dyDescent="0.35">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x14ac:dyDescent="0.35">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x14ac:dyDescent="0.35">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x14ac:dyDescent="0.35">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x14ac:dyDescent="0.35">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x14ac:dyDescent="0.35">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x14ac:dyDescent="0.35">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x14ac:dyDescent="0.35">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x14ac:dyDescent="0.35">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x14ac:dyDescent="0.35">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x14ac:dyDescent="0.35">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x14ac:dyDescent="0.35">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x14ac:dyDescent="0.35">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x14ac:dyDescent="0.35">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x14ac:dyDescent="0.35">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x14ac:dyDescent="0.35">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x14ac:dyDescent="0.35">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x14ac:dyDescent="0.35">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x14ac:dyDescent="0.35">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x14ac:dyDescent="0.35">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x14ac:dyDescent="0.35">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x14ac:dyDescent="0.35">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x14ac:dyDescent="0.35">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x14ac:dyDescent="0.35">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x14ac:dyDescent="0.35">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x14ac:dyDescent="0.35">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x14ac:dyDescent="0.35">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x14ac:dyDescent="0.35">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x14ac:dyDescent="0.35">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x14ac:dyDescent="0.35">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x14ac:dyDescent="0.35">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x14ac:dyDescent="0.35">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x14ac:dyDescent="0.35">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x14ac:dyDescent="0.35">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x14ac:dyDescent="0.35">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x14ac:dyDescent="0.35">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x14ac:dyDescent="0.35">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x14ac:dyDescent="0.35">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x14ac:dyDescent="0.35">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x14ac:dyDescent="0.35">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x14ac:dyDescent="0.35">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x14ac:dyDescent="0.35">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x14ac:dyDescent="0.35">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x14ac:dyDescent="0.35">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x14ac:dyDescent="0.35">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x14ac:dyDescent="0.35">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x14ac:dyDescent="0.35">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x14ac:dyDescent="0.35">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x14ac:dyDescent="0.35">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x14ac:dyDescent="0.35">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x14ac:dyDescent="0.35">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x14ac:dyDescent="0.35">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x14ac:dyDescent="0.35">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x14ac:dyDescent="0.35">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x14ac:dyDescent="0.35">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x14ac:dyDescent="0.35">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x14ac:dyDescent="0.35">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x14ac:dyDescent="0.35">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x14ac:dyDescent="0.35">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x14ac:dyDescent="0.35">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x14ac:dyDescent="0.35">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x14ac:dyDescent="0.35">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x14ac:dyDescent="0.35">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x14ac:dyDescent="0.35">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x14ac:dyDescent="0.35">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x14ac:dyDescent="0.35">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x14ac:dyDescent="0.35">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x14ac:dyDescent="0.35">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x14ac:dyDescent="0.35">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x14ac:dyDescent="0.35">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x14ac:dyDescent="0.35">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x14ac:dyDescent="0.35">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x14ac:dyDescent="0.35">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x14ac:dyDescent="0.35">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x14ac:dyDescent="0.35">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x14ac:dyDescent="0.35">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x14ac:dyDescent="0.35">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x14ac:dyDescent="0.35">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x14ac:dyDescent="0.35">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x14ac:dyDescent="0.35">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x14ac:dyDescent="0.35">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x14ac:dyDescent="0.35">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x14ac:dyDescent="0.35">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x14ac:dyDescent="0.35">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x14ac:dyDescent="0.35">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x14ac:dyDescent="0.35">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x14ac:dyDescent="0.35">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x14ac:dyDescent="0.35">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x14ac:dyDescent="0.35">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x14ac:dyDescent="0.35">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x14ac:dyDescent="0.35">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x14ac:dyDescent="0.35">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x14ac:dyDescent="0.35">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x14ac:dyDescent="0.35">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x14ac:dyDescent="0.35">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x14ac:dyDescent="0.35">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x14ac:dyDescent="0.35">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x14ac:dyDescent="0.35">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x14ac:dyDescent="0.35">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x14ac:dyDescent="0.35">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x14ac:dyDescent="0.35">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x14ac:dyDescent="0.35">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x14ac:dyDescent="0.35">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x14ac:dyDescent="0.35">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x14ac:dyDescent="0.35">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x14ac:dyDescent="0.35">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x14ac:dyDescent="0.35">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x14ac:dyDescent="0.35">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x14ac:dyDescent="0.35">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x14ac:dyDescent="0.35">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x14ac:dyDescent="0.35">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x14ac:dyDescent="0.35">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x14ac:dyDescent="0.35">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x14ac:dyDescent="0.35">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x14ac:dyDescent="0.35">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x14ac:dyDescent="0.35">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x14ac:dyDescent="0.35">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x14ac:dyDescent="0.35">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x14ac:dyDescent="0.35">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x14ac:dyDescent="0.35">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x14ac:dyDescent="0.35">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x14ac:dyDescent="0.35">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x14ac:dyDescent="0.35">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x14ac:dyDescent="0.35">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x14ac:dyDescent="0.35">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x14ac:dyDescent="0.35">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x14ac:dyDescent="0.35">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x14ac:dyDescent="0.35">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x14ac:dyDescent="0.35">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x14ac:dyDescent="0.35">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x14ac:dyDescent="0.35">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x14ac:dyDescent="0.35">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x14ac:dyDescent="0.35">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x14ac:dyDescent="0.35">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x14ac:dyDescent="0.35">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x14ac:dyDescent="0.35">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x14ac:dyDescent="0.35">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x14ac:dyDescent="0.35">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x14ac:dyDescent="0.35">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x14ac:dyDescent="0.35">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x14ac:dyDescent="0.35">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x14ac:dyDescent="0.35">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x14ac:dyDescent="0.35">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x14ac:dyDescent="0.35">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x14ac:dyDescent="0.35">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x14ac:dyDescent="0.35">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x14ac:dyDescent="0.35">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x14ac:dyDescent="0.35">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x14ac:dyDescent="0.35">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x14ac:dyDescent="0.35">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x14ac:dyDescent="0.35">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x14ac:dyDescent="0.35">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x14ac:dyDescent="0.35">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x14ac:dyDescent="0.35">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x14ac:dyDescent="0.35">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x14ac:dyDescent="0.35">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x14ac:dyDescent="0.35">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x14ac:dyDescent="0.35">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x14ac:dyDescent="0.35">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x14ac:dyDescent="0.35">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x14ac:dyDescent="0.35">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x14ac:dyDescent="0.35">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x14ac:dyDescent="0.35">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x14ac:dyDescent="0.35">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x14ac:dyDescent="0.35">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x14ac:dyDescent="0.35">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x14ac:dyDescent="0.35">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x14ac:dyDescent="0.35">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x14ac:dyDescent="0.35">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x14ac:dyDescent="0.35">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x14ac:dyDescent="0.35">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x14ac:dyDescent="0.35">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x14ac:dyDescent="0.35">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x14ac:dyDescent="0.35">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x14ac:dyDescent="0.35">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x14ac:dyDescent="0.35">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x14ac:dyDescent="0.35">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x14ac:dyDescent="0.35">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x14ac:dyDescent="0.35">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x14ac:dyDescent="0.35">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x14ac:dyDescent="0.35">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x14ac:dyDescent="0.35">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x14ac:dyDescent="0.35">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x14ac:dyDescent="0.35">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x14ac:dyDescent="0.35">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x14ac:dyDescent="0.35">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x14ac:dyDescent="0.35">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x14ac:dyDescent="0.35">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x14ac:dyDescent="0.35">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x14ac:dyDescent="0.35">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x14ac:dyDescent="0.35">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x14ac:dyDescent="0.35">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x14ac:dyDescent="0.35">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x14ac:dyDescent="0.35">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x14ac:dyDescent="0.35">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x14ac:dyDescent="0.35">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x14ac:dyDescent="0.35">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x14ac:dyDescent="0.35">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x14ac:dyDescent="0.35">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x14ac:dyDescent="0.35">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x14ac:dyDescent="0.35">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x14ac:dyDescent="0.35">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x14ac:dyDescent="0.35">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x14ac:dyDescent="0.35">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x14ac:dyDescent="0.35">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x14ac:dyDescent="0.35">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x14ac:dyDescent="0.35">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x14ac:dyDescent="0.35">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x14ac:dyDescent="0.35">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x14ac:dyDescent="0.35">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x14ac:dyDescent="0.35">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x14ac:dyDescent="0.35">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x14ac:dyDescent="0.35">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x14ac:dyDescent="0.35">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x14ac:dyDescent="0.35">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x14ac:dyDescent="0.35">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x14ac:dyDescent="0.35">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x14ac:dyDescent="0.35">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x14ac:dyDescent="0.35">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x14ac:dyDescent="0.35">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x14ac:dyDescent="0.35">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x14ac:dyDescent="0.35">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x14ac:dyDescent="0.35">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x14ac:dyDescent="0.35">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x14ac:dyDescent="0.35">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x14ac:dyDescent="0.35">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x14ac:dyDescent="0.35">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x14ac:dyDescent="0.35">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x14ac:dyDescent="0.35">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x14ac:dyDescent="0.35">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x14ac:dyDescent="0.35">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x14ac:dyDescent="0.35">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x14ac:dyDescent="0.35">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x14ac:dyDescent="0.35">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x14ac:dyDescent="0.35">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x14ac:dyDescent="0.35">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x14ac:dyDescent="0.35">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x14ac:dyDescent="0.35">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x14ac:dyDescent="0.35">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x14ac:dyDescent="0.35">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x14ac:dyDescent="0.35">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x14ac:dyDescent="0.35">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x14ac:dyDescent="0.35">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x14ac:dyDescent="0.35">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x14ac:dyDescent="0.35">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x14ac:dyDescent="0.35">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x14ac:dyDescent="0.35">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x14ac:dyDescent="0.35">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x14ac:dyDescent="0.35">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x14ac:dyDescent="0.35">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x14ac:dyDescent="0.35">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x14ac:dyDescent="0.35">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x14ac:dyDescent="0.35">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x14ac:dyDescent="0.35">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x14ac:dyDescent="0.35">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x14ac:dyDescent="0.35">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x14ac:dyDescent="0.35">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x14ac:dyDescent="0.35">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x14ac:dyDescent="0.35">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x14ac:dyDescent="0.35">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x14ac:dyDescent="0.35">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x14ac:dyDescent="0.35">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x14ac:dyDescent="0.35">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x14ac:dyDescent="0.35">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x14ac:dyDescent="0.35">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x14ac:dyDescent="0.35">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x14ac:dyDescent="0.35">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x14ac:dyDescent="0.35">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x14ac:dyDescent="0.35">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x14ac:dyDescent="0.35">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x14ac:dyDescent="0.35">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x14ac:dyDescent="0.35">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x14ac:dyDescent="0.35">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x14ac:dyDescent="0.35">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x14ac:dyDescent="0.35">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x14ac:dyDescent="0.35">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x14ac:dyDescent="0.35">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x14ac:dyDescent="0.35">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x14ac:dyDescent="0.35">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x14ac:dyDescent="0.35">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x14ac:dyDescent="0.35">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x14ac:dyDescent="0.35">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x14ac:dyDescent="0.35">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x14ac:dyDescent="0.35">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x14ac:dyDescent="0.35">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x14ac:dyDescent="0.35">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x14ac:dyDescent="0.35">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x14ac:dyDescent="0.35">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x14ac:dyDescent="0.35">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x14ac:dyDescent="0.35">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x14ac:dyDescent="0.35">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x14ac:dyDescent="0.35">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x14ac:dyDescent="0.35">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x14ac:dyDescent="0.35">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x14ac:dyDescent="0.35">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x14ac:dyDescent="0.35">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x14ac:dyDescent="0.35">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x14ac:dyDescent="0.35">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x14ac:dyDescent="0.35">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x14ac:dyDescent="0.35">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x14ac:dyDescent="0.35">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x14ac:dyDescent="0.35">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x14ac:dyDescent="0.35">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x14ac:dyDescent="0.35">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x14ac:dyDescent="0.35">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x14ac:dyDescent="0.35">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x14ac:dyDescent="0.35">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x14ac:dyDescent="0.35">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x14ac:dyDescent="0.35">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x14ac:dyDescent="0.35">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x14ac:dyDescent="0.35">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x14ac:dyDescent="0.35">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x14ac:dyDescent="0.35">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x14ac:dyDescent="0.35">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x14ac:dyDescent="0.35">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x14ac:dyDescent="0.35">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x14ac:dyDescent="0.35">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x14ac:dyDescent="0.35">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x14ac:dyDescent="0.35">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x14ac:dyDescent="0.35">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x14ac:dyDescent="0.35">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x14ac:dyDescent="0.35">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x14ac:dyDescent="0.35">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x14ac:dyDescent="0.35">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x14ac:dyDescent="0.35">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x14ac:dyDescent="0.35">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x14ac:dyDescent="0.35">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x14ac:dyDescent="0.35">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x14ac:dyDescent="0.35">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x14ac:dyDescent="0.35">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x14ac:dyDescent="0.35">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x14ac:dyDescent="0.35">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x14ac:dyDescent="0.35">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x14ac:dyDescent="0.35">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x14ac:dyDescent="0.35">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x14ac:dyDescent="0.35">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x14ac:dyDescent="0.35">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x14ac:dyDescent="0.35">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x14ac:dyDescent="0.35">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x14ac:dyDescent="0.35">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x14ac:dyDescent="0.35">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x14ac:dyDescent="0.35">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x14ac:dyDescent="0.35">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x14ac:dyDescent="0.35">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x14ac:dyDescent="0.35">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x14ac:dyDescent="0.35">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x14ac:dyDescent="0.35">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x14ac:dyDescent="0.35">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x14ac:dyDescent="0.35">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x14ac:dyDescent="0.35">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x14ac:dyDescent="0.35">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x14ac:dyDescent="0.35">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x14ac:dyDescent="0.35">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x14ac:dyDescent="0.35">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x14ac:dyDescent="0.35">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x14ac:dyDescent="0.35">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x14ac:dyDescent="0.35">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x14ac:dyDescent="0.35">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x14ac:dyDescent="0.35">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x14ac:dyDescent="0.35">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x14ac:dyDescent="0.35">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x14ac:dyDescent="0.35">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x14ac:dyDescent="0.35">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x14ac:dyDescent="0.35">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x14ac:dyDescent="0.35">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x14ac:dyDescent="0.35">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x14ac:dyDescent="0.35">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x14ac:dyDescent="0.35">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x14ac:dyDescent="0.35">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x14ac:dyDescent="0.35">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x14ac:dyDescent="0.35">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x14ac:dyDescent="0.35">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x14ac:dyDescent="0.35">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x14ac:dyDescent="0.35">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x14ac:dyDescent="0.35">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x14ac:dyDescent="0.35">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x14ac:dyDescent="0.35">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x14ac:dyDescent="0.35">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x14ac:dyDescent="0.35">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x14ac:dyDescent="0.35">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x14ac:dyDescent="0.35">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x14ac:dyDescent="0.35">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x14ac:dyDescent="0.35">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x14ac:dyDescent="0.35">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x14ac:dyDescent="0.35">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x14ac:dyDescent="0.35">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x14ac:dyDescent="0.35">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x14ac:dyDescent="0.35">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x14ac:dyDescent="0.35">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x14ac:dyDescent="0.35">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x14ac:dyDescent="0.35">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x14ac:dyDescent="0.35">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x14ac:dyDescent="0.35">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x14ac:dyDescent="0.35">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x14ac:dyDescent="0.35">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x14ac:dyDescent="0.35">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x14ac:dyDescent="0.35">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x14ac:dyDescent="0.35">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x14ac:dyDescent="0.35">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x14ac:dyDescent="0.35">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x14ac:dyDescent="0.35">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x14ac:dyDescent="0.35">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x14ac:dyDescent="0.35">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x14ac:dyDescent="0.35">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x14ac:dyDescent="0.35">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x14ac:dyDescent="0.35">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x14ac:dyDescent="0.35">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x14ac:dyDescent="0.35">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x14ac:dyDescent="0.35">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x14ac:dyDescent="0.35">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x14ac:dyDescent="0.35">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x14ac:dyDescent="0.35">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x14ac:dyDescent="0.35">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x14ac:dyDescent="0.35">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x14ac:dyDescent="0.35">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x14ac:dyDescent="0.35">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x14ac:dyDescent="0.35">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x14ac:dyDescent="0.35">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x14ac:dyDescent="0.35">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x14ac:dyDescent="0.35">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x14ac:dyDescent="0.35">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x14ac:dyDescent="0.35">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x14ac:dyDescent="0.35">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x14ac:dyDescent="0.35">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x14ac:dyDescent="0.35">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x14ac:dyDescent="0.35">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x14ac:dyDescent="0.35">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x14ac:dyDescent="0.35">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x14ac:dyDescent="0.35">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x14ac:dyDescent="0.35">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x14ac:dyDescent="0.35">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x14ac:dyDescent="0.35">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x14ac:dyDescent="0.35">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x14ac:dyDescent="0.35">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x14ac:dyDescent="0.35">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x14ac:dyDescent="0.35">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x14ac:dyDescent="0.35">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x14ac:dyDescent="0.35">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x14ac:dyDescent="0.35">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x14ac:dyDescent="0.35">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x14ac:dyDescent="0.35">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x14ac:dyDescent="0.35">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x14ac:dyDescent="0.35">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x14ac:dyDescent="0.35">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x14ac:dyDescent="0.35">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x14ac:dyDescent="0.35">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x14ac:dyDescent="0.35">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x14ac:dyDescent="0.35">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x14ac:dyDescent="0.35">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x14ac:dyDescent="0.35">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x14ac:dyDescent="0.35">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x14ac:dyDescent="0.35">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x14ac:dyDescent="0.35">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x14ac:dyDescent="0.35">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x14ac:dyDescent="0.35">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x14ac:dyDescent="0.35">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x14ac:dyDescent="0.35">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x14ac:dyDescent="0.35">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x14ac:dyDescent="0.35">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x14ac:dyDescent="0.35">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x14ac:dyDescent="0.35">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x14ac:dyDescent="0.35">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x14ac:dyDescent="0.35">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x14ac:dyDescent="0.35">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x14ac:dyDescent="0.35">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x14ac:dyDescent="0.35">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x14ac:dyDescent="0.35">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x14ac:dyDescent="0.35">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x14ac:dyDescent="0.35">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x14ac:dyDescent="0.35">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x14ac:dyDescent="0.35">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x14ac:dyDescent="0.35">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x14ac:dyDescent="0.35">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x14ac:dyDescent="0.35">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x14ac:dyDescent="0.35">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x14ac:dyDescent="0.35">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x14ac:dyDescent="0.35">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x14ac:dyDescent="0.35">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x14ac:dyDescent="0.35">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x14ac:dyDescent="0.35">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x14ac:dyDescent="0.35">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x14ac:dyDescent="0.35">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x14ac:dyDescent="0.35">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x14ac:dyDescent="0.35">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x14ac:dyDescent="0.35">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x14ac:dyDescent="0.35">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x14ac:dyDescent="0.35">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x14ac:dyDescent="0.35">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x14ac:dyDescent="0.35">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x14ac:dyDescent="0.35">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x14ac:dyDescent="0.35">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x14ac:dyDescent="0.35">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x14ac:dyDescent="0.35">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x14ac:dyDescent="0.35">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x14ac:dyDescent="0.35">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x14ac:dyDescent="0.35">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x14ac:dyDescent="0.35">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x14ac:dyDescent="0.35">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x14ac:dyDescent="0.35">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x14ac:dyDescent="0.35">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x14ac:dyDescent="0.35">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x14ac:dyDescent="0.35">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x14ac:dyDescent="0.35">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x14ac:dyDescent="0.35">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x14ac:dyDescent="0.35">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x14ac:dyDescent="0.35">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x14ac:dyDescent="0.35">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x14ac:dyDescent="0.35">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x14ac:dyDescent="0.35">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x14ac:dyDescent="0.35">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x14ac:dyDescent="0.35">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x14ac:dyDescent="0.35">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x14ac:dyDescent="0.35">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x14ac:dyDescent="0.35">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x14ac:dyDescent="0.35">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x14ac:dyDescent="0.35">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x14ac:dyDescent="0.35">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x14ac:dyDescent="0.35">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x14ac:dyDescent="0.35">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x14ac:dyDescent="0.35">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x14ac:dyDescent="0.35">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x14ac:dyDescent="0.35">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x14ac:dyDescent="0.35">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x14ac:dyDescent="0.35">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x14ac:dyDescent="0.35">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x14ac:dyDescent="0.35">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x14ac:dyDescent="0.35">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x14ac:dyDescent="0.35">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x14ac:dyDescent="0.35">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x14ac:dyDescent="0.35">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x14ac:dyDescent="0.35">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x14ac:dyDescent="0.35">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x14ac:dyDescent="0.35">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x14ac:dyDescent="0.35">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x14ac:dyDescent="0.35">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x14ac:dyDescent="0.35">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x14ac:dyDescent="0.35">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x14ac:dyDescent="0.35">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x14ac:dyDescent="0.35">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x14ac:dyDescent="0.35">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x14ac:dyDescent="0.35">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x14ac:dyDescent="0.35">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x14ac:dyDescent="0.35">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x14ac:dyDescent="0.35">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x14ac:dyDescent="0.35">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x14ac:dyDescent="0.35">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x14ac:dyDescent="0.35">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x14ac:dyDescent="0.35">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x14ac:dyDescent="0.35">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x14ac:dyDescent="0.35">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x14ac:dyDescent="0.35">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x14ac:dyDescent="0.35">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x14ac:dyDescent="0.35">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x14ac:dyDescent="0.35">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x14ac:dyDescent="0.35">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x14ac:dyDescent="0.35">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x14ac:dyDescent="0.35">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x14ac:dyDescent="0.35">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x14ac:dyDescent="0.35">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x14ac:dyDescent="0.35">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x14ac:dyDescent="0.35">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x14ac:dyDescent="0.35">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x14ac:dyDescent="0.35">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x14ac:dyDescent="0.35">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x14ac:dyDescent="0.35">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x14ac:dyDescent="0.35">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x14ac:dyDescent="0.35">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x14ac:dyDescent="0.35">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x14ac:dyDescent="0.35">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x14ac:dyDescent="0.35">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x14ac:dyDescent="0.35">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x14ac:dyDescent="0.35">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x14ac:dyDescent="0.35">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x14ac:dyDescent="0.35">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x14ac:dyDescent="0.35">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x14ac:dyDescent="0.35">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x14ac:dyDescent="0.35">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x14ac:dyDescent="0.35">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x14ac:dyDescent="0.35">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x14ac:dyDescent="0.35">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x14ac:dyDescent="0.35">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x14ac:dyDescent="0.35">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x14ac:dyDescent="0.35">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x14ac:dyDescent="0.35">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x14ac:dyDescent="0.35">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x14ac:dyDescent="0.35">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x14ac:dyDescent="0.35">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x14ac:dyDescent="0.35">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x14ac:dyDescent="0.35">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x14ac:dyDescent="0.35">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x14ac:dyDescent="0.35">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x14ac:dyDescent="0.35">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x14ac:dyDescent="0.35">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x14ac:dyDescent="0.35">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x14ac:dyDescent="0.35">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x14ac:dyDescent="0.35">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x14ac:dyDescent="0.35">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x14ac:dyDescent="0.35">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x14ac:dyDescent="0.35">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x14ac:dyDescent="0.35">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x14ac:dyDescent="0.35">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x14ac:dyDescent="0.35">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x14ac:dyDescent="0.35">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x14ac:dyDescent="0.35">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x14ac:dyDescent="0.35">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x14ac:dyDescent="0.35">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x14ac:dyDescent="0.35">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x14ac:dyDescent="0.35">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x14ac:dyDescent="0.35">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x14ac:dyDescent="0.35">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x14ac:dyDescent="0.35">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x14ac:dyDescent="0.35">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x14ac:dyDescent="0.35">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x14ac:dyDescent="0.35">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x14ac:dyDescent="0.35">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x14ac:dyDescent="0.35">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x14ac:dyDescent="0.35">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x14ac:dyDescent="0.35">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x14ac:dyDescent="0.35">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x14ac:dyDescent="0.35">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x14ac:dyDescent="0.35">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x14ac:dyDescent="0.35">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x14ac:dyDescent="0.35">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x14ac:dyDescent="0.35">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x14ac:dyDescent="0.35">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x14ac:dyDescent="0.35">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x14ac:dyDescent="0.35">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x14ac:dyDescent="0.35">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x14ac:dyDescent="0.35">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x14ac:dyDescent="0.35">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x14ac:dyDescent="0.35">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x14ac:dyDescent="0.35">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x14ac:dyDescent="0.35">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x14ac:dyDescent="0.35">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x14ac:dyDescent="0.35">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x14ac:dyDescent="0.35">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x14ac:dyDescent="0.35">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x14ac:dyDescent="0.35">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x14ac:dyDescent="0.35">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x14ac:dyDescent="0.35">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x14ac:dyDescent="0.35">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x14ac:dyDescent="0.35">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x14ac:dyDescent="0.35">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x14ac:dyDescent="0.35">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x14ac:dyDescent="0.35">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x14ac:dyDescent="0.35">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x14ac:dyDescent="0.35">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x14ac:dyDescent="0.35">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x14ac:dyDescent="0.35">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x14ac:dyDescent="0.35">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x14ac:dyDescent="0.35">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x14ac:dyDescent="0.35">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x14ac:dyDescent="0.35">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x14ac:dyDescent="0.35">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x14ac:dyDescent="0.35">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x14ac:dyDescent="0.35">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x14ac:dyDescent="0.35">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x14ac:dyDescent="0.35">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x14ac:dyDescent="0.35">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x14ac:dyDescent="0.35">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x14ac:dyDescent="0.35">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x14ac:dyDescent="0.35">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x14ac:dyDescent="0.35">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x14ac:dyDescent="0.35">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x14ac:dyDescent="0.35">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x14ac:dyDescent="0.35">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x14ac:dyDescent="0.35">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x14ac:dyDescent="0.35">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x14ac:dyDescent="0.35">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x14ac:dyDescent="0.35">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x14ac:dyDescent="0.35">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x14ac:dyDescent="0.35">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x14ac:dyDescent="0.35">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x14ac:dyDescent="0.35">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x14ac:dyDescent="0.35">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x14ac:dyDescent="0.35">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x14ac:dyDescent="0.35">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x14ac:dyDescent="0.35">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x14ac:dyDescent="0.35">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x14ac:dyDescent="0.35">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x14ac:dyDescent="0.35">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x14ac:dyDescent="0.35">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x14ac:dyDescent="0.35">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x14ac:dyDescent="0.35">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x14ac:dyDescent="0.35">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x14ac:dyDescent="0.35">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x14ac:dyDescent="0.35">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x14ac:dyDescent="0.35">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x14ac:dyDescent="0.35">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x14ac:dyDescent="0.35">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x14ac:dyDescent="0.35">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x14ac:dyDescent="0.35">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x14ac:dyDescent="0.35">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x14ac:dyDescent="0.35">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x14ac:dyDescent="0.35">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x14ac:dyDescent="0.35">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x14ac:dyDescent="0.35">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x14ac:dyDescent="0.35">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x14ac:dyDescent="0.35">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x14ac:dyDescent="0.35">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x14ac:dyDescent="0.35">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x14ac:dyDescent="0.35">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x14ac:dyDescent="0.35">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x14ac:dyDescent="0.35">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x14ac:dyDescent="0.35">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x14ac:dyDescent="0.35">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x14ac:dyDescent="0.35">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x14ac:dyDescent="0.35">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x14ac:dyDescent="0.35">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x14ac:dyDescent="0.35">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x14ac:dyDescent="0.35">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x14ac:dyDescent="0.35">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x14ac:dyDescent="0.35">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x14ac:dyDescent="0.35">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x14ac:dyDescent="0.35">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x14ac:dyDescent="0.35">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x14ac:dyDescent="0.35">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x14ac:dyDescent="0.35">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x14ac:dyDescent="0.35">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x14ac:dyDescent="0.35">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x14ac:dyDescent="0.35">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x14ac:dyDescent="0.35">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x14ac:dyDescent="0.35">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x14ac:dyDescent="0.35">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x14ac:dyDescent="0.35">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x14ac:dyDescent="0.35">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x14ac:dyDescent="0.35">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x14ac:dyDescent="0.35">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x14ac:dyDescent="0.35">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x14ac:dyDescent="0.35">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x14ac:dyDescent="0.35">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x14ac:dyDescent="0.35">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x14ac:dyDescent="0.35">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x14ac:dyDescent="0.35">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x14ac:dyDescent="0.35">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x14ac:dyDescent="0.35">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x14ac:dyDescent="0.35">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x14ac:dyDescent="0.35">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x14ac:dyDescent="0.35">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x14ac:dyDescent="0.35">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x14ac:dyDescent="0.35">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x14ac:dyDescent="0.35">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x14ac:dyDescent="0.35">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x14ac:dyDescent="0.35">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x14ac:dyDescent="0.35">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x14ac:dyDescent="0.35">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x14ac:dyDescent="0.35">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x14ac:dyDescent="0.35">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x14ac:dyDescent="0.35">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x14ac:dyDescent="0.35">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x14ac:dyDescent="0.35">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x14ac:dyDescent="0.35">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x14ac:dyDescent="0.35">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x14ac:dyDescent="0.35">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x14ac:dyDescent="0.35">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x14ac:dyDescent="0.35">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x14ac:dyDescent="0.35">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x14ac:dyDescent="0.35">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x14ac:dyDescent="0.35">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x14ac:dyDescent="0.35">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x14ac:dyDescent="0.35">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x14ac:dyDescent="0.35">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x14ac:dyDescent="0.35">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x14ac:dyDescent="0.35">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x14ac:dyDescent="0.35">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x14ac:dyDescent="0.35">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x14ac:dyDescent="0.35">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x14ac:dyDescent="0.35">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x14ac:dyDescent="0.35">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x14ac:dyDescent="0.35">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x14ac:dyDescent="0.35">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x14ac:dyDescent="0.35">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x14ac:dyDescent="0.35">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x14ac:dyDescent="0.35">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x14ac:dyDescent="0.35">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x14ac:dyDescent="0.35">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x14ac:dyDescent="0.35">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x14ac:dyDescent="0.35">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x14ac:dyDescent="0.35">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x14ac:dyDescent="0.35">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x14ac:dyDescent="0.35">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x14ac:dyDescent="0.35">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x14ac:dyDescent="0.35">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x14ac:dyDescent="0.35">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x14ac:dyDescent="0.35">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x14ac:dyDescent="0.35">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x14ac:dyDescent="0.35">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x14ac:dyDescent="0.35">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x14ac:dyDescent="0.35">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x14ac:dyDescent="0.35">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x14ac:dyDescent="0.35">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x14ac:dyDescent="0.35">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x14ac:dyDescent="0.35">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x14ac:dyDescent="0.35">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x14ac:dyDescent="0.35">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x14ac:dyDescent="0.35">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x14ac:dyDescent="0.35">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x14ac:dyDescent="0.35">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x14ac:dyDescent="0.35">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x14ac:dyDescent="0.35">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x14ac:dyDescent="0.35">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x14ac:dyDescent="0.35">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x14ac:dyDescent="0.35">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x14ac:dyDescent="0.35">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x14ac:dyDescent="0.35">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x14ac:dyDescent="0.35">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x14ac:dyDescent="0.35">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x14ac:dyDescent="0.35">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x14ac:dyDescent="0.35">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x14ac:dyDescent="0.35">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x14ac:dyDescent="0.35">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x14ac:dyDescent="0.35">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x14ac:dyDescent="0.35">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x14ac:dyDescent="0.35">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x14ac:dyDescent="0.35">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x14ac:dyDescent="0.35">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x14ac:dyDescent="0.35">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x14ac:dyDescent="0.35">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x14ac:dyDescent="0.35">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x14ac:dyDescent="0.35">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x14ac:dyDescent="0.35">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x14ac:dyDescent="0.35">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x14ac:dyDescent="0.35">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x14ac:dyDescent="0.35">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x14ac:dyDescent="0.35">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x14ac:dyDescent="0.35">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x14ac:dyDescent="0.35">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x14ac:dyDescent="0.35">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x14ac:dyDescent="0.35">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x14ac:dyDescent="0.35">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x14ac:dyDescent="0.35">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x14ac:dyDescent="0.35">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x14ac:dyDescent="0.35">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x14ac:dyDescent="0.35">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x14ac:dyDescent="0.35">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x14ac:dyDescent="0.35">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x14ac:dyDescent="0.35">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x14ac:dyDescent="0.35">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x14ac:dyDescent="0.35">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x14ac:dyDescent="0.35">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x14ac:dyDescent="0.35">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x14ac:dyDescent="0.35">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x14ac:dyDescent="0.35">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x14ac:dyDescent="0.35">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x14ac:dyDescent="0.35">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x14ac:dyDescent="0.35">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x14ac:dyDescent="0.35">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x14ac:dyDescent="0.35">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x14ac:dyDescent="0.35">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x14ac:dyDescent="0.35">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x14ac:dyDescent="0.35">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x14ac:dyDescent="0.35">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x14ac:dyDescent="0.35">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x14ac:dyDescent="0.35">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x14ac:dyDescent="0.35">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x14ac:dyDescent="0.35">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x14ac:dyDescent="0.35">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x14ac:dyDescent="0.35">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x14ac:dyDescent="0.35">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x14ac:dyDescent="0.35">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x14ac:dyDescent="0.35">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x14ac:dyDescent="0.35">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x14ac:dyDescent="0.35">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x14ac:dyDescent="0.35">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x14ac:dyDescent="0.35">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x14ac:dyDescent="0.35">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x14ac:dyDescent="0.35">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x14ac:dyDescent="0.35">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x14ac:dyDescent="0.35">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x14ac:dyDescent="0.35">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x14ac:dyDescent="0.35">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x14ac:dyDescent="0.35">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x14ac:dyDescent="0.35">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x14ac:dyDescent="0.35">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x14ac:dyDescent="0.35">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x14ac:dyDescent="0.35">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x14ac:dyDescent="0.35">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x14ac:dyDescent="0.35">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x14ac:dyDescent="0.35">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x14ac:dyDescent="0.35">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x14ac:dyDescent="0.35">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x14ac:dyDescent="0.35">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x14ac:dyDescent="0.35">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x14ac:dyDescent="0.35">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x14ac:dyDescent="0.35">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x14ac:dyDescent="0.35">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x14ac:dyDescent="0.35">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x14ac:dyDescent="0.35">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x14ac:dyDescent="0.35">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x14ac:dyDescent="0.35">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x14ac:dyDescent="0.35">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x14ac:dyDescent="0.35">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x14ac:dyDescent="0.35">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x14ac:dyDescent="0.35">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x14ac:dyDescent="0.35">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x14ac:dyDescent="0.35">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x14ac:dyDescent="0.35">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x14ac:dyDescent="0.35">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x14ac:dyDescent="0.35">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x14ac:dyDescent="0.35">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x14ac:dyDescent="0.35">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x14ac:dyDescent="0.35">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x14ac:dyDescent="0.35">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x14ac:dyDescent="0.35">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x14ac:dyDescent="0.35">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x14ac:dyDescent="0.35">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x14ac:dyDescent="0.35">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x14ac:dyDescent="0.35">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x14ac:dyDescent="0.35">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x14ac:dyDescent="0.35">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x14ac:dyDescent="0.35">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x14ac:dyDescent="0.35">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x14ac:dyDescent="0.35">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x14ac:dyDescent="0.35">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x14ac:dyDescent="0.35">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x14ac:dyDescent="0.35">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x14ac:dyDescent="0.35">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x14ac:dyDescent="0.35">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x14ac:dyDescent="0.35">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x14ac:dyDescent="0.35">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x14ac:dyDescent="0.35">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x14ac:dyDescent="0.35">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x14ac:dyDescent="0.35">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x14ac:dyDescent="0.35">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x14ac:dyDescent="0.35">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x14ac:dyDescent="0.35">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x14ac:dyDescent="0.35">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x14ac:dyDescent="0.35">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x14ac:dyDescent="0.35">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x14ac:dyDescent="0.35">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x14ac:dyDescent="0.35">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x14ac:dyDescent="0.35">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x14ac:dyDescent="0.35">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x14ac:dyDescent="0.35">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x14ac:dyDescent="0.35">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x14ac:dyDescent="0.35">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x14ac:dyDescent="0.35">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x14ac:dyDescent="0.35">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x14ac:dyDescent="0.35">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x14ac:dyDescent="0.35">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x14ac:dyDescent="0.35">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x14ac:dyDescent="0.35">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x14ac:dyDescent="0.35">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x14ac:dyDescent="0.35">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x14ac:dyDescent="0.35">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x14ac:dyDescent="0.35">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x14ac:dyDescent="0.35">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x14ac:dyDescent="0.35">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x14ac:dyDescent="0.35">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x14ac:dyDescent="0.35">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x14ac:dyDescent="0.35">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x14ac:dyDescent="0.35">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x14ac:dyDescent="0.35">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x14ac:dyDescent="0.35">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x14ac:dyDescent="0.35">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x14ac:dyDescent="0.35">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x14ac:dyDescent="0.35">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x14ac:dyDescent="0.35">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x14ac:dyDescent="0.35">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x14ac:dyDescent="0.35">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x14ac:dyDescent="0.35">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x14ac:dyDescent="0.35">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x14ac:dyDescent="0.35">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x14ac:dyDescent="0.35">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x14ac:dyDescent="0.35">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x14ac:dyDescent="0.35">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x14ac:dyDescent="0.35">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x14ac:dyDescent="0.35">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x14ac:dyDescent="0.35">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x14ac:dyDescent="0.35">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x14ac:dyDescent="0.35">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x14ac:dyDescent="0.35">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x14ac:dyDescent="0.35">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x14ac:dyDescent="0.35">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x14ac:dyDescent="0.35">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x14ac:dyDescent="0.35">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x14ac:dyDescent="0.35">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x14ac:dyDescent="0.35">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x14ac:dyDescent="0.35">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x14ac:dyDescent="0.35">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x14ac:dyDescent="0.35">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x14ac:dyDescent="0.35">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x14ac:dyDescent="0.35">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x14ac:dyDescent="0.35">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x14ac:dyDescent="0.35">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x14ac:dyDescent="0.35">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x14ac:dyDescent="0.35">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x14ac:dyDescent="0.35">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x14ac:dyDescent="0.35">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x14ac:dyDescent="0.35">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x14ac:dyDescent="0.35">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x14ac:dyDescent="0.35">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x14ac:dyDescent="0.35">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x14ac:dyDescent="0.35">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x14ac:dyDescent="0.35">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x14ac:dyDescent="0.35">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x14ac:dyDescent="0.35">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x14ac:dyDescent="0.35">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x14ac:dyDescent="0.35">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x14ac:dyDescent="0.35">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x14ac:dyDescent="0.35">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x14ac:dyDescent="0.35">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x14ac:dyDescent="0.35">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x14ac:dyDescent="0.35">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x14ac:dyDescent="0.35">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x14ac:dyDescent="0.35">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x14ac:dyDescent="0.35">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x14ac:dyDescent="0.35">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x14ac:dyDescent="0.35">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x14ac:dyDescent="0.35">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x14ac:dyDescent="0.35">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x14ac:dyDescent="0.35">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x14ac:dyDescent="0.35">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x14ac:dyDescent="0.35">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x14ac:dyDescent="0.35">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x14ac:dyDescent="0.35">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x14ac:dyDescent="0.35">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x14ac:dyDescent="0.35">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x14ac:dyDescent="0.35">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x14ac:dyDescent="0.35">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x14ac:dyDescent="0.35">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x14ac:dyDescent="0.35">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x14ac:dyDescent="0.35">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x14ac:dyDescent="0.35">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x14ac:dyDescent="0.35">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x14ac:dyDescent="0.35">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x14ac:dyDescent="0.35">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x14ac:dyDescent="0.35">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x14ac:dyDescent="0.35">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x14ac:dyDescent="0.35">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x14ac:dyDescent="0.35">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x14ac:dyDescent="0.35">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x14ac:dyDescent="0.35">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x14ac:dyDescent="0.35">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x14ac:dyDescent="0.35">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x14ac:dyDescent="0.35">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x14ac:dyDescent="0.35">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x14ac:dyDescent="0.35">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x14ac:dyDescent="0.35">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x14ac:dyDescent="0.35">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x14ac:dyDescent="0.35">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x14ac:dyDescent="0.35">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x14ac:dyDescent="0.35">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x14ac:dyDescent="0.35">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x14ac:dyDescent="0.35">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x14ac:dyDescent="0.35">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x14ac:dyDescent="0.35">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x14ac:dyDescent="0.35">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x14ac:dyDescent="0.35">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x14ac:dyDescent="0.35">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x14ac:dyDescent="0.35">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x14ac:dyDescent="0.35">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x14ac:dyDescent="0.35">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x14ac:dyDescent="0.35">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x14ac:dyDescent="0.35">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x14ac:dyDescent="0.35">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x14ac:dyDescent="0.35">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x14ac:dyDescent="0.35">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x14ac:dyDescent="0.35">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x14ac:dyDescent="0.35">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x14ac:dyDescent="0.35">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x14ac:dyDescent="0.35">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x14ac:dyDescent="0.35">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x14ac:dyDescent="0.35">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x14ac:dyDescent="0.35">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x14ac:dyDescent="0.35">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x14ac:dyDescent="0.35">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x14ac:dyDescent="0.35">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x14ac:dyDescent="0.35">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x14ac:dyDescent="0.35">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x14ac:dyDescent="0.35">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x14ac:dyDescent="0.35">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x14ac:dyDescent="0.35">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x14ac:dyDescent="0.35">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x14ac:dyDescent="0.35">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x14ac:dyDescent="0.35">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x14ac:dyDescent="0.35">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x14ac:dyDescent="0.35">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x14ac:dyDescent="0.35">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x14ac:dyDescent="0.35">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x14ac:dyDescent="0.35">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x14ac:dyDescent="0.35">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x14ac:dyDescent="0.35">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x14ac:dyDescent="0.35">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x14ac:dyDescent="0.35">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x14ac:dyDescent="0.35">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x14ac:dyDescent="0.35">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x14ac:dyDescent="0.35">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x14ac:dyDescent="0.35">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x14ac:dyDescent="0.35">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x14ac:dyDescent="0.35">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x14ac:dyDescent="0.35">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x14ac:dyDescent="0.35">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x14ac:dyDescent="0.35">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x14ac:dyDescent="0.35">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x14ac:dyDescent="0.35">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x14ac:dyDescent="0.35">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x14ac:dyDescent="0.35">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x14ac:dyDescent="0.35">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x14ac:dyDescent="0.35">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x14ac:dyDescent="0.35">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x14ac:dyDescent="0.35">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x14ac:dyDescent="0.35">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x14ac:dyDescent="0.35">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x14ac:dyDescent="0.35">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x14ac:dyDescent="0.35">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x14ac:dyDescent="0.35">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x14ac:dyDescent="0.35">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x14ac:dyDescent="0.35">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x14ac:dyDescent="0.35">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x14ac:dyDescent="0.35">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x14ac:dyDescent="0.35">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x14ac:dyDescent="0.35">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x14ac:dyDescent="0.35">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x14ac:dyDescent="0.35">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x14ac:dyDescent="0.35">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x14ac:dyDescent="0.35">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x14ac:dyDescent="0.35">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x14ac:dyDescent="0.35">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x14ac:dyDescent="0.35">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x14ac:dyDescent="0.35">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x14ac:dyDescent="0.35">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x14ac:dyDescent="0.35">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x14ac:dyDescent="0.35">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x14ac:dyDescent="0.35">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x14ac:dyDescent="0.35">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x14ac:dyDescent="0.35">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x14ac:dyDescent="0.35">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x14ac:dyDescent="0.35">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x14ac:dyDescent="0.35">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x14ac:dyDescent="0.35">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x14ac:dyDescent="0.35">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x14ac:dyDescent="0.35">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x14ac:dyDescent="0.35">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x14ac:dyDescent="0.35">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x14ac:dyDescent="0.35">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x14ac:dyDescent="0.35">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x14ac:dyDescent="0.35">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x14ac:dyDescent="0.35">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x14ac:dyDescent="0.35">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x14ac:dyDescent="0.35">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x14ac:dyDescent="0.35">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x14ac:dyDescent="0.35">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x14ac:dyDescent="0.35">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x14ac:dyDescent="0.35">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x14ac:dyDescent="0.35">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x14ac:dyDescent="0.35">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x14ac:dyDescent="0.35">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x14ac:dyDescent="0.35">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x14ac:dyDescent="0.35">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x14ac:dyDescent="0.35">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x14ac:dyDescent="0.35">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x14ac:dyDescent="0.35">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x14ac:dyDescent="0.35">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x14ac:dyDescent="0.35">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x14ac:dyDescent="0.35">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x14ac:dyDescent="0.35">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x14ac:dyDescent="0.35">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x14ac:dyDescent="0.35">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x14ac:dyDescent="0.35">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x14ac:dyDescent="0.35">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x14ac:dyDescent="0.35">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x14ac:dyDescent="0.35">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x14ac:dyDescent="0.35">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x14ac:dyDescent="0.35">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x14ac:dyDescent="0.35">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x14ac:dyDescent="0.35">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x14ac:dyDescent="0.35">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x14ac:dyDescent="0.35">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x14ac:dyDescent="0.35">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x14ac:dyDescent="0.35">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x14ac:dyDescent="0.35">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x14ac:dyDescent="0.35">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x14ac:dyDescent="0.35">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x14ac:dyDescent="0.35">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x14ac:dyDescent="0.35">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x14ac:dyDescent="0.35">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x14ac:dyDescent="0.35">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x14ac:dyDescent="0.35">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x14ac:dyDescent="0.35">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x14ac:dyDescent="0.35">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x14ac:dyDescent="0.35">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x14ac:dyDescent="0.35">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x14ac:dyDescent="0.35">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x14ac:dyDescent="0.35">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x14ac:dyDescent="0.35">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x14ac:dyDescent="0.35">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x14ac:dyDescent="0.35">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x14ac:dyDescent="0.35">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x14ac:dyDescent="0.35">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x14ac:dyDescent="0.35">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x14ac:dyDescent="0.35">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x14ac:dyDescent="0.35">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x14ac:dyDescent="0.35">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x14ac:dyDescent="0.35">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x14ac:dyDescent="0.35">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x14ac:dyDescent="0.35">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x14ac:dyDescent="0.35">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x14ac:dyDescent="0.35">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x14ac:dyDescent="0.35">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x14ac:dyDescent="0.35">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x14ac:dyDescent="0.35">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x14ac:dyDescent="0.35">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x14ac:dyDescent="0.35">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x14ac:dyDescent="0.35">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x14ac:dyDescent="0.35">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x14ac:dyDescent="0.35">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x14ac:dyDescent="0.35">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x14ac:dyDescent="0.35">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x14ac:dyDescent="0.35">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x14ac:dyDescent="0.35">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x14ac:dyDescent="0.35">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x14ac:dyDescent="0.35">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x14ac:dyDescent="0.35">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x14ac:dyDescent="0.35">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x14ac:dyDescent="0.35">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x14ac:dyDescent="0.35">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x14ac:dyDescent="0.35">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x14ac:dyDescent="0.35">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x14ac:dyDescent="0.35">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x14ac:dyDescent="0.35">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x14ac:dyDescent="0.35">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x14ac:dyDescent="0.35">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x14ac:dyDescent="0.35">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x14ac:dyDescent="0.35">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x14ac:dyDescent="0.35">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x14ac:dyDescent="0.35">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x14ac:dyDescent="0.35">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x14ac:dyDescent="0.35">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x14ac:dyDescent="0.35">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x14ac:dyDescent="0.35">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x14ac:dyDescent="0.35">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x14ac:dyDescent="0.35">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x14ac:dyDescent="0.35">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x14ac:dyDescent="0.35">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x14ac:dyDescent="0.35">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x14ac:dyDescent="0.35">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x14ac:dyDescent="0.35">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x14ac:dyDescent="0.35">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x14ac:dyDescent="0.35">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x14ac:dyDescent="0.35">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x14ac:dyDescent="0.35">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x14ac:dyDescent="0.35">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x14ac:dyDescent="0.35">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x14ac:dyDescent="0.35">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x14ac:dyDescent="0.35">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x14ac:dyDescent="0.35">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x14ac:dyDescent="0.35">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x14ac:dyDescent="0.35">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x14ac:dyDescent="0.35">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x14ac:dyDescent="0.35">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x14ac:dyDescent="0.35">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x14ac:dyDescent="0.35">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x14ac:dyDescent="0.35">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x14ac:dyDescent="0.35">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x14ac:dyDescent="0.35">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x14ac:dyDescent="0.35">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x14ac:dyDescent="0.35">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x14ac:dyDescent="0.35">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x14ac:dyDescent="0.35">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x14ac:dyDescent="0.35">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x14ac:dyDescent="0.35">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x14ac:dyDescent="0.35">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x14ac:dyDescent="0.35">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x14ac:dyDescent="0.35">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x14ac:dyDescent="0.35">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x14ac:dyDescent="0.35">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x14ac:dyDescent="0.35">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x14ac:dyDescent="0.35">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x14ac:dyDescent="0.35">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x14ac:dyDescent="0.35">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x14ac:dyDescent="0.35">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x14ac:dyDescent="0.35">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x14ac:dyDescent="0.35">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x14ac:dyDescent="0.35">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x14ac:dyDescent="0.35">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x14ac:dyDescent="0.35">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x14ac:dyDescent="0.35">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x14ac:dyDescent="0.35">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x14ac:dyDescent="0.35">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x14ac:dyDescent="0.35">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x14ac:dyDescent="0.35">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x14ac:dyDescent="0.35">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x14ac:dyDescent="0.35">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x14ac:dyDescent="0.35">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x14ac:dyDescent="0.35">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x14ac:dyDescent="0.35">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x14ac:dyDescent="0.35">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x14ac:dyDescent="0.35">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x14ac:dyDescent="0.35">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x14ac:dyDescent="0.35">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x14ac:dyDescent="0.35">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x14ac:dyDescent="0.35">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x14ac:dyDescent="0.35">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x14ac:dyDescent="0.35">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x14ac:dyDescent="0.35">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x14ac:dyDescent="0.35">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x14ac:dyDescent="0.35">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x14ac:dyDescent="0.35">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x14ac:dyDescent="0.35">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x14ac:dyDescent="0.35">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x14ac:dyDescent="0.35">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x14ac:dyDescent="0.35">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x14ac:dyDescent="0.35">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x14ac:dyDescent="0.35">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x14ac:dyDescent="0.35">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x14ac:dyDescent="0.35">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x14ac:dyDescent="0.35">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x14ac:dyDescent="0.35">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x14ac:dyDescent="0.35">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x14ac:dyDescent="0.35">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x14ac:dyDescent="0.35">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x14ac:dyDescent="0.35">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x14ac:dyDescent="0.35">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x14ac:dyDescent="0.35">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x14ac:dyDescent="0.35">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x14ac:dyDescent="0.35">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x14ac:dyDescent="0.35">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x14ac:dyDescent="0.35">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x14ac:dyDescent="0.35">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x14ac:dyDescent="0.35">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x14ac:dyDescent="0.35">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x14ac:dyDescent="0.35">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x14ac:dyDescent="0.35">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x14ac:dyDescent="0.35">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x14ac:dyDescent="0.35">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x14ac:dyDescent="0.35">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x14ac:dyDescent="0.35">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x14ac:dyDescent="0.35">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x14ac:dyDescent="0.35">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x14ac:dyDescent="0.35">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x14ac:dyDescent="0.35">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x14ac:dyDescent="0.35">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x14ac:dyDescent="0.35">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x14ac:dyDescent="0.35">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x14ac:dyDescent="0.35">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x14ac:dyDescent="0.35">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x14ac:dyDescent="0.35">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x14ac:dyDescent="0.35">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x14ac:dyDescent="0.35">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x14ac:dyDescent="0.35">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x14ac:dyDescent="0.35">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x14ac:dyDescent="0.35">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x14ac:dyDescent="0.35">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x14ac:dyDescent="0.35">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x14ac:dyDescent="0.35">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x14ac:dyDescent="0.35">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x14ac:dyDescent="0.35">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x14ac:dyDescent="0.35">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x14ac:dyDescent="0.35">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x14ac:dyDescent="0.35">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x14ac:dyDescent="0.35">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x14ac:dyDescent="0.35">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x14ac:dyDescent="0.35">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x14ac:dyDescent="0.35">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x14ac:dyDescent="0.35">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x14ac:dyDescent="0.35">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x14ac:dyDescent="0.35">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x14ac:dyDescent="0.35">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x14ac:dyDescent="0.35">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x14ac:dyDescent="0.35">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x14ac:dyDescent="0.35">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x14ac:dyDescent="0.35">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x14ac:dyDescent="0.35">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x14ac:dyDescent="0.35">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x14ac:dyDescent="0.35">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x14ac:dyDescent="0.35">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x14ac:dyDescent="0.35">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x14ac:dyDescent="0.35">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x14ac:dyDescent="0.35">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x14ac:dyDescent="0.35">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x14ac:dyDescent="0.35">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x14ac:dyDescent="0.35">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x14ac:dyDescent="0.35">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x14ac:dyDescent="0.35">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x14ac:dyDescent="0.35">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x14ac:dyDescent="0.35">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x14ac:dyDescent="0.35">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x14ac:dyDescent="0.35">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x14ac:dyDescent="0.35">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x14ac:dyDescent="0.35">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x14ac:dyDescent="0.35">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x14ac:dyDescent="0.35">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x14ac:dyDescent="0.35">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x14ac:dyDescent="0.35">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x14ac:dyDescent="0.35">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x14ac:dyDescent="0.35">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x14ac:dyDescent="0.35">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x14ac:dyDescent="0.35">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x14ac:dyDescent="0.35">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x14ac:dyDescent="0.35">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x14ac:dyDescent="0.35">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x14ac:dyDescent="0.35">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x14ac:dyDescent="0.35">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x14ac:dyDescent="0.35">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x14ac:dyDescent="0.35">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x14ac:dyDescent="0.35">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x14ac:dyDescent="0.35">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x14ac:dyDescent="0.35">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x14ac:dyDescent="0.35">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x14ac:dyDescent="0.35">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x14ac:dyDescent="0.35">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x14ac:dyDescent="0.35">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x14ac:dyDescent="0.35">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x14ac:dyDescent="0.35">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x14ac:dyDescent="0.35">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x14ac:dyDescent="0.35">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x14ac:dyDescent="0.35">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x14ac:dyDescent="0.35">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x14ac:dyDescent="0.35">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x14ac:dyDescent="0.35">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x14ac:dyDescent="0.35">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x14ac:dyDescent="0.35">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x14ac:dyDescent="0.35">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x14ac:dyDescent="0.35">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x14ac:dyDescent="0.35">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x14ac:dyDescent="0.35">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x14ac:dyDescent="0.35">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x14ac:dyDescent="0.35">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x14ac:dyDescent="0.35">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x14ac:dyDescent="0.35">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x14ac:dyDescent="0.35">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x14ac:dyDescent="0.35">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x14ac:dyDescent="0.35">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x14ac:dyDescent="0.35">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x14ac:dyDescent="0.35">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x14ac:dyDescent="0.35">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x14ac:dyDescent="0.35">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x14ac:dyDescent="0.35">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x14ac:dyDescent="0.35">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x14ac:dyDescent="0.35">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x14ac:dyDescent="0.35">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x14ac:dyDescent="0.35">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x14ac:dyDescent="0.35">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x14ac:dyDescent="0.35">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x14ac:dyDescent="0.35">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x14ac:dyDescent="0.35">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x14ac:dyDescent="0.35">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x14ac:dyDescent="0.35">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x14ac:dyDescent="0.35">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x14ac:dyDescent="0.35">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x14ac:dyDescent="0.35">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x14ac:dyDescent="0.35">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x14ac:dyDescent="0.35">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x14ac:dyDescent="0.35">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x14ac:dyDescent="0.35">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x14ac:dyDescent="0.35">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x14ac:dyDescent="0.35">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x14ac:dyDescent="0.35">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x14ac:dyDescent="0.35">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x14ac:dyDescent="0.35">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x14ac:dyDescent="0.35">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x14ac:dyDescent="0.35">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x14ac:dyDescent="0.35">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x14ac:dyDescent="0.35">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x14ac:dyDescent="0.35">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x14ac:dyDescent="0.35">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x14ac:dyDescent="0.35">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x14ac:dyDescent="0.35">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x14ac:dyDescent="0.35">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x14ac:dyDescent="0.35">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x14ac:dyDescent="0.35">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x14ac:dyDescent="0.35">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x14ac:dyDescent="0.35">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x14ac:dyDescent="0.35">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x14ac:dyDescent="0.35">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x14ac:dyDescent="0.35">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x14ac:dyDescent="0.35">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x14ac:dyDescent="0.35">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x14ac:dyDescent="0.35">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x14ac:dyDescent="0.35">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x14ac:dyDescent="0.35">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x14ac:dyDescent="0.35">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x14ac:dyDescent="0.35">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x14ac:dyDescent="0.35">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x14ac:dyDescent="0.35">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x14ac:dyDescent="0.35">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x14ac:dyDescent="0.35">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x14ac:dyDescent="0.35">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x14ac:dyDescent="0.35">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x14ac:dyDescent="0.35">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x14ac:dyDescent="0.35">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x14ac:dyDescent="0.35">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x14ac:dyDescent="0.35">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x14ac:dyDescent="0.35">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x14ac:dyDescent="0.35">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x14ac:dyDescent="0.35">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x14ac:dyDescent="0.35">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x14ac:dyDescent="0.35">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x14ac:dyDescent="0.35">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x14ac:dyDescent="0.35">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x14ac:dyDescent="0.35">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x14ac:dyDescent="0.35">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x14ac:dyDescent="0.35">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x14ac:dyDescent="0.35">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x14ac:dyDescent="0.35">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x14ac:dyDescent="0.35">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x14ac:dyDescent="0.35">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x14ac:dyDescent="0.35">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x14ac:dyDescent="0.35">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x14ac:dyDescent="0.35">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x14ac:dyDescent="0.35">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x14ac:dyDescent="0.35">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x14ac:dyDescent="0.35">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x14ac:dyDescent="0.35">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x14ac:dyDescent="0.35">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x14ac:dyDescent="0.35">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x14ac:dyDescent="0.35">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x14ac:dyDescent="0.35">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x14ac:dyDescent="0.35">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x14ac:dyDescent="0.35">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x14ac:dyDescent="0.35">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x14ac:dyDescent="0.35">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x14ac:dyDescent="0.35">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x14ac:dyDescent="0.35">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x14ac:dyDescent="0.35">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x14ac:dyDescent="0.35">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x14ac:dyDescent="0.35">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x14ac:dyDescent="0.35">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x14ac:dyDescent="0.35">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x14ac:dyDescent="0.35">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x14ac:dyDescent="0.35">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x14ac:dyDescent="0.35">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x14ac:dyDescent="0.35">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x14ac:dyDescent="0.35">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x14ac:dyDescent="0.35">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x14ac:dyDescent="0.35">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x14ac:dyDescent="0.35">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x14ac:dyDescent="0.35">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x14ac:dyDescent="0.35">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x14ac:dyDescent="0.35">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x14ac:dyDescent="0.35">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x14ac:dyDescent="0.35">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x14ac:dyDescent="0.35">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x14ac:dyDescent="0.35">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x14ac:dyDescent="0.35">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x14ac:dyDescent="0.35">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x14ac:dyDescent="0.35">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x14ac:dyDescent="0.35">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x14ac:dyDescent="0.35">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x14ac:dyDescent="0.35">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x14ac:dyDescent="0.35">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x14ac:dyDescent="0.35">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x14ac:dyDescent="0.35">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x14ac:dyDescent="0.35">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x14ac:dyDescent="0.35">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x14ac:dyDescent="0.35">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x14ac:dyDescent="0.35">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x14ac:dyDescent="0.35">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x14ac:dyDescent="0.35">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x14ac:dyDescent="0.35">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x14ac:dyDescent="0.35">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x14ac:dyDescent="0.35">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x14ac:dyDescent="0.35">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x14ac:dyDescent="0.35">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x14ac:dyDescent="0.35">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x14ac:dyDescent="0.35">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x14ac:dyDescent="0.35">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x14ac:dyDescent="0.35">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x14ac:dyDescent="0.35">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x14ac:dyDescent="0.35">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x14ac:dyDescent="0.35">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x14ac:dyDescent="0.35">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x14ac:dyDescent="0.35">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x14ac:dyDescent="0.35">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x14ac:dyDescent="0.35">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x14ac:dyDescent="0.35">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x14ac:dyDescent="0.35">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x14ac:dyDescent="0.35">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x14ac:dyDescent="0.35">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x14ac:dyDescent="0.35">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x14ac:dyDescent="0.35">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x14ac:dyDescent="0.35">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x14ac:dyDescent="0.35">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x14ac:dyDescent="0.35">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x14ac:dyDescent="0.35">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x14ac:dyDescent="0.35">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x14ac:dyDescent="0.35">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x14ac:dyDescent="0.35">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x14ac:dyDescent="0.35">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x14ac:dyDescent="0.35">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x14ac:dyDescent="0.35">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x14ac:dyDescent="0.35">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x14ac:dyDescent="0.35">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x14ac:dyDescent="0.35">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x14ac:dyDescent="0.35">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x14ac:dyDescent="0.35">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x14ac:dyDescent="0.35">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x14ac:dyDescent="0.35">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x14ac:dyDescent="0.35">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x14ac:dyDescent="0.35">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x14ac:dyDescent="0.35">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x14ac:dyDescent="0.35">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x14ac:dyDescent="0.35">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x14ac:dyDescent="0.35">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x14ac:dyDescent="0.35">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x14ac:dyDescent="0.35">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x14ac:dyDescent="0.35">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x14ac:dyDescent="0.35">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x14ac:dyDescent="0.35">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x14ac:dyDescent="0.35">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x14ac:dyDescent="0.35">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x14ac:dyDescent="0.35">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x14ac:dyDescent="0.35">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x14ac:dyDescent="0.35">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x14ac:dyDescent="0.35">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x14ac:dyDescent="0.35">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x14ac:dyDescent="0.35">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x14ac:dyDescent="0.35">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x14ac:dyDescent="0.35">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x14ac:dyDescent="0.35">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x14ac:dyDescent="0.35">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x14ac:dyDescent="0.35">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x14ac:dyDescent="0.35">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x14ac:dyDescent="0.35">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x14ac:dyDescent="0.35">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x14ac:dyDescent="0.35">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x14ac:dyDescent="0.35">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x14ac:dyDescent="0.35">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x14ac:dyDescent="0.35">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x14ac:dyDescent="0.35">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x14ac:dyDescent="0.35">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x14ac:dyDescent="0.35">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x14ac:dyDescent="0.35">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x14ac:dyDescent="0.35">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x14ac:dyDescent="0.35">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x14ac:dyDescent="0.35">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x14ac:dyDescent="0.35">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x14ac:dyDescent="0.35">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x14ac:dyDescent="0.35">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x14ac:dyDescent="0.35">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x14ac:dyDescent="0.35">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x14ac:dyDescent="0.35">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x14ac:dyDescent="0.35">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x14ac:dyDescent="0.35">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x14ac:dyDescent="0.35">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x14ac:dyDescent="0.35">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x14ac:dyDescent="0.35">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x14ac:dyDescent="0.35">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x14ac:dyDescent="0.35">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x14ac:dyDescent="0.35">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x14ac:dyDescent="0.35">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x14ac:dyDescent="0.35">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x14ac:dyDescent="0.35">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x14ac:dyDescent="0.35">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x14ac:dyDescent="0.35">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x14ac:dyDescent="0.35">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x14ac:dyDescent="0.35">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x14ac:dyDescent="0.35">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x14ac:dyDescent="0.35">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x14ac:dyDescent="0.35">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x14ac:dyDescent="0.35">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x14ac:dyDescent="0.35">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x14ac:dyDescent="0.35">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x14ac:dyDescent="0.35">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x14ac:dyDescent="0.35">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x14ac:dyDescent="0.35">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x14ac:dyDescent="0.35">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x14ac:dyDescent="0.35">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x14ac:dyDescent="0.35">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x14ac:dyDescent="0.35">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x14ac:dyDescent="0.35">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x14ac:dyDescent="0.35">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x14ac:dyDescent="0.35">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x14ac:dyDescent="0.35">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x14ac:dyDescent="0.35">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x14ac:dyDescent="0.35">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x14ac:dyDescent="0.35">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x14ac:dyDescent="0.35">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x14ac:dyDescent="0.35">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x14ac:dyDescent="0.35">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x14ac:dyDescent="0.35">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x14ac:dyDescent="0.35">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x14ac:dyDescent="0.35">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x14ac:dyDescent="0.35">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x14ac:dyDescent="0.35">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x14ac:dyDescent="0.35">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x14ac:dyDescent="0.35">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x14ac:dyDescent="0.35">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x14ac:dyDescent="0.35">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x14ac:dyDescent="0.35">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x14ac:dyDescent="0.35">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x14ac:dyDescent="0.35">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x14ac:dyDescent="0.35">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x14ac:dyDescent="0.35">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x14ac:dyDescent="0.35">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x14ac:dyDescent="0.35">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x14ac:dyDescent="0.35">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x14ac:dyDescent="0.35">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x14ac:dyDescent="0.35">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x14ac:dyDescent="0.35">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x14ac:dyDescent="0.35">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x14ac:dyDescent="0.35">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x14ac:dyDescent="0.35">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x14ac:dyDescent="0.35">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x14ac:dyDescent="0.35">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x14ac:dyDescent="0.35">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x14ac:dyDescent="0.35">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x14ac:dyDescent="0.35">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x14ac:dyDescent="0.35">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x14ac:dyDescent="0.35">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x14ac:dyDescent="0.35">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x14ac:dyDescent="0.35">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x14ac:dyDescent="0.35">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x14ac:dyDescent="0.35">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x14ac:dyDescent="0.35">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x14ac:dyDescent="0.35">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x14ac:dyDescent="0.35">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x14ac:dyDescent="0.35">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x14ac:dyDescent="0.35">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x14ac:dyDescent="0.35">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x14ac:dyDescent="0.35">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x14ac:dyDescent="0.35">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x14ac:dyDescent="0.35">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x14ac:dyDescent="0.35">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x14ac:dyDescent="0.35">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x14ac:dyDescent="0.35">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x14ac:dyDescent="0.35">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x14ac:dyDescent="0.35">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x14ac:dyDescent="0.35">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x14ac:dyDescent="0.35">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x14ac:dyDescent="0.35">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x14ac:dyDescent="0.35">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x14ac:dyDescent="0.35">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x14ac:dyDescent="0.35">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x14ac:dyDescent="0.35">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x14ac:dyDescent="0.35">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x14ac:dyDescent="0.35">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x14ac:dyDescent="0.35">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x14ac:dyDescent="0.35">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x14ac:dyDescent="0.35">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x14ac:dyDescent="0.35">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x14ac:dyDescent="0.35">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x14ac:dyDescent="0.35">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x14ac:dyDescent="0.35">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x14ac:dyDescent="0.35">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x14ac:dyDescent="0.35">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x14ac:dyDescent="0.35">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x14ac:dyDescent="0.35">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x14ac:dyDescent="0.35">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x14ac:dyDescent="0.35">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x14ac:dyDescent="0.35">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x14ac:dyDescent="0.35">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x14ac:dyDescent="0.35">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x14ac:dyDescent="0.35">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x14ac:dyDescent="0.35">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x14ac:dyDescent="0.35">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x14ac:dyDescent="0.35">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x14ac:dyDescent="0.35">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x14ac:dyDescent="0.35">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x14ac:dyDescent="0.35">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x14ac:dyDescent="0.35">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x14ac:dyDescent="0.35">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x14ac:dyDescent="0.35">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x14ac:dyDescent="0.35">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x14ac:dyDescent="0.35">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x14ac:dyDescent="0.35">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x14ac:dyDescent="0.35">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x14ac:dyDescent="0.35">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x14ac:dyDescent="0.35">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x14ac:dyDescent="0.35">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x14ac:dyDescent="0.35">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x14ac:dyDescent="0.35">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x14ac:dyDescent="0.35">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x14ac:dyDescent="0.35">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x14ac:dyDescent="0.35">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x14ac:dyDescent="0.35">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x14ac:dyDescent="0.35">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x14ac:dyDescent="0.35">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x14ac:dyDescent="0.35">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x14ac:dyDescent="0.35">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x14ac:dyDescent="0.35">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x14ac:dyDescent="0.35">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x14ac:dyDescent="0.35">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x14ac:dyDescent="0.35">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x14ac:dyDescent="0.35">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x14ac:dyDescent="0.35">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x14ac:dyDescent="0.35">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x14ac:dyDescent="0.35">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x14ac:dyDescent="0.35">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x14ac:dyDescent="0.35">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x14ac:dyDescent="0.35">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x14ac:dyDescent="0.35">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x14ac:dyDescent="0.35">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x14ac:dyDescent="0.35">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x14ac:dyDescent="0.35">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x14ac:dyDescent="0.35">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x14ac:dyDescent="0.35">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x14ac:dyDescent="0.35">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x14ac:dyDescent="0.35">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x14ac:dyDescent="0.35">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x14ac:dyDescent="0.35">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x14ac:dyDescent="0.35">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x14ac:dyDescent="0.35">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x14ac:dyDescent="0.35">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x14ac:dyDescent="0.35">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x14ac:dyDescent="0.35">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x14ac:dyDescent="0.35">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x14ac:dyDescent="0.35">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x14ac:dyDescent="0.35">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x14ac:dyDescent="0.35">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x14ac:dyDescent="0.35">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x14ac:dyDescent="0.35">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x14ac:dyDescent="0.35">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x14ac:dyDescent="0.35">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x14ac:dyDescent="0.35">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x14ac:dyDescent="0.35">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x14ac:dyDescent="0.35">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x14ac:dyDescent="0.35">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x14ac:dyDescent="0.35">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x14ac:dyDescent="0.35">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x14ac:dyDescent="0.35">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x14ac:dyDescent="0.35">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x14ac:dyDescent="0.35">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x14ac:dyDescent="0.35">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x14ac:dyDescent="0.35">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x14ac:dyDescent="0.35">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x14ac:dyDescent="0.35">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x14ac:dyDescent="0.35">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x14ac:dyDescent="0.35">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x14ac:dyDescent="0.35">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x14ac:dyDescent="0.35">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Data!$I3893+0</f>
        <v>0.8</v>
      </c>
      <c r="Q3893" s="12">
        <f>Data!$J3893-250</f>
        <v>4000</v>
      </c>
      <c r="R3893" s="13">
        <f>Data!$M3893-5%</f>
        <v>0.25</v>
      </c>
    </row>
  </sheetData>
  <autoFilter ref="B5:M3893" xr:uid="{00000000-0001-0000-0000-000000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E8A7-ECFB-46C6-B42A-1A18F97DF003}">
  <dimension ref="B2:Z92"/>
  <sheetViews>
    <sheetView showGridLines="0" zoomScale="80" zoomScaleNormal="80" workbookViewId="0"/>
  </sheetViews>
  <sheetFormatPr defaultRowHeight="14.5" x14ac:dyDescent="0.35"/>
  <cols>
    <col min="3" max="3" width="12.90625" bestFit="1" customWidth="1"/>
    <col min="4" max="4" width="16.453125" bestFit="1" customWidth="1"/>
    <col min="5" max="5" width="15.54296875" bestFit="1" customWidth="1"/>
    <col min="6" max="7" width="4.453125" bestFit="1" customWidth="1"/>
    <col min="8" max="22" width="5.453125" bestFit="1" customWidth="1"/>
    <col min="23" max="23" width="10.08984375" customWidth="1"/>
    <col min="24" max="24" width="12.1796875" customWidth="1"/>
    <col min="25" max="27" width="5.453125" bestFit="1" customWidth="1"/>
  </cols>
  <sheetData>
    <row r="2" spans="2:26" x14ac:dyDescent="0.35">
      <c r="B2" s="21"/>
      <c r="C2" s="22"/>
      <c r="D2" s="22"/>
      <c r="E2" s="22"/>
      <c r="F2" s="22"/>
      <c r="G2" s="22"/>
      <c r="H2" s="22"/>
      <c r="I2" s="22"/>
      <c r="J2" s="22"/>
      <c r="K2" s="22"/>
      <c r="L2" s="22"/>
      <c r="M2" s="22"/>
      <c r="N2" s="22"/>
      <c r="O2" s="22"/>
      <c r="P2" s="22"/>
      <c r="Q2" s="22"/>
      <c r="R2" s="22"/>
      <c r="S2" s="22"/>
      <c r="T2" s="22"/>
      <c r="U2" s="22"/>
      <c r="V2" s="22"/>
      <c r="W2" s="22"/>
      <c r="X2" s="22"/>
      <c r="Y2" s="22"/>
      <c r="Z2" s="23"/>
    </row>
    <row r="3" spans="2:26" x14ac:dyDescent="0.35">
      <c r="B3" s="24"/>
      <c r="C3" s="25"/>
      <c r="D3" s="25"/>
      <c r="E3" s="59" t="s">
        <v>148</v>
      </c>
      <c r="F3" s="60"/>
      <c r="G3" s="60"/>
      <c r="H3" s="60"/>
      <c r="I3" s="60"/>
      <c r="J3" s="60"/>
      <c r="K3" s="60"/>
      <c r="L3" s="60"/>
      <c r="M3" s="60"/>
      <c r="N3" s="60"/>
      <c r="O3" s="60"/>
      <c r="P3" s="60"/>
      <c r="Q3" s="60"/>
      <c r="R3" s="60"/>
      <c r="S3" s="60"/>
      <c r="T3" s="60"/>
      <c r="U3" s="60"/>
      <c r="V3" s="61"/>
      <c r="W3" s="25"/>
      <c r="X3" s="25"/>
      <c r="Y3" s="25"/>
      <c r="Z3" s="26"/>
    </row>
    <row r="4" spans="2:26" x14ac:dyDescent="0.35">
      <c r="B4" s="24"/>
      <c r="C4" s="25"/>
      <c r="D4" s="25"/>
      <c r="E4" s="25"/>
      <c r="F4" s="25"/>
      <c r="G4" s="25"/>
      <c r="H4" s="25"/>
      <c r="I4" s="25"/>
      <c r="J4" s="25"/>
      <c r="K4" s="25"/>
      <c r="L4" s="25"/>
      <c r="M4" s="25"/>
      <c r="N4" s="25"/>
      <c r="O4" s="25"/>
      <c r="P4" s="25"/>
      <c r="Q4" s="25"/>
      <c r="R4" s="25"/>
      <c r="S4" s="25"/>
      <c r="T4" s="25"/>
      <c r="U4" s="25"/>
      <c r="V4" s="25"/>
      <c r="W4" s="25"/>
      <c r="X4" s="25"/>
      <c r="Y4" s="25"/>
      <c r="Z4" s="26"/>
    </row>
    <row r="5" spans="2:26" x14ac:dyDescent="0.35">
      <c r="B5" s="24"/>
      <c r="C5" s="43" t="s">
        <v>149</v>
      </c>
      <c r="D5" s="43" t="s">
        <v>146</v>
      </c>
      <c r="E5" s="43" t="s">
        <v>147</v>
      </c>
      <c r="F5" s="25"/>
      <c r="G5" s="25"/>
      <c r="H5" s="25"/>
      <c r="I5" s="25"/>
      <c r="J5" s="25"/>
      <c r="K5" s="25"/>
      <c r="L5" s="25"/>
      <c r="M5" s="25"/>
      <c r="N5" s="25"/>
      <c r="O5" s="25"/>
      <c r="P5" s="25"/>
      <c r="Q5" s="25"/>
      <c r="R5" s="25"/>
      <c r="S5" s="25"/>
      <c r="T5" s="25"/>
      <c r="U5" s="25"/>
      <c r="V5" s="25"/>
      <c r="W5" s="25"/>
      <c r="X5" s="25"/>
      <c r="Y5" s="25"/>
      <c r="Z5" s="26"/>
    </row>
    <row r="6" spans="2:26" x14ac:dyDescent="0.35">
      <c r="B6" s="24"/>
      <c r="C6" s="44" t="s">
        <v>133</v>
      </c>
      <c r="D6" s="45">
        <v>510750</v>
      </c>
      <c r="E6" s="46">
        <v>1347750</v>
      </c>
      <c r="F6" s="25"/>
      <c r="G6" s="25"/>
      <c r="H6" s="25"/>
      <c r="I6" s="25"/>
      <c r="J6" s="25"/>
      <c r="K6" s="25"/>
      <c r="L6" s="25"/>
      <c r="M6" s="25"/>
      <c r="N6" s="25"/>
      <c r="O6" s="25"/>
      <c r="P6" s="25"/>
      <c r="Q6" s="25"/>
      <c r="R6" s="25"/>
      <c r="S6" s="25"/>
      <c r="T6" s="25"/>
      <c r="U6" s="25"/>
      <c r="V6" s="25"/>
      <c r="W6" s="25"/>
      <c r="X6" s="25"/>
      <c r="Y6" s="25"/>
      <c r="Z6" s="26"/>
    </row>
    <row r="7" spans="2:26" ht="14.5" customHeight="1" x14ac:dyDescent="0.35">
      <c r="B7" s="24"/>
      <c r="C7" s="44" t="s">
        <v>134</v>
      </c>
      <c r="D7" s="45">
        <v>484975</v>
      </c>
      <c r="E7" s="46">
        <v>1274250</v>
      </c>
      <c r="F7" s="25"/>
      <c r="G7" s="25"/>
      <c r="H7" s="25"/>
      <c r="I7" s="25"/>
      <c r="J7" s="25"/>
      <c r="K7" s="25"/>
      <c r="L7" s="25"/>
      <c r="M7" s="25"/>
      <c r="N7" s="25"/>
      <c r="O7" s="25"/>
      <c r="P7" s="25"/>
      <c r="Q7" s="25"/>
      <c r="R7" s="25"/>
      <c r="S7" s="25"/>
      <c r="T7" s="25"/>
      <c r="U7" s="66" t="s">
        <v>152</v>
      </c>
      <c r="V7" s="76"/>
      <c r="W7" s="76"/>
      <c r="X7" s="67"/>
      <c r="Y7" s="25"/>
      <c r="Z7" s="26"/>
    </row>
    <row r="8" spans="2:26" x14ac:dyDescent="0.35">
      <c r="B8" s="24"/>
      <c r="C8" s="44" t="s">
        <v>135</v>
      </c>
      <c r="D8" s="45">
        <v>483530</v>
      </c>
      <c r="E8" s="46">
        <v>1204250</v>
      </c>
      <c r="F8" s="25"/>
      <c r="G8" s="25"/>
      <c r="H8" s="25"/>
      <c r="I8" s="25"/>
      <c r="J8" s="25"/>
      <c r="K8" s="25"/>
      <c r="L8" s="25"/>
      <c r="M8" s="25"/>
      <c r="N8" s="25"/>
      <c r="O8" s="25"/>
      <c r="P8" s="25"/>
      <c r="Q8" s="25"/>
      <c r="R8" s="25"/>
      <c r="S8" s="25"/>
      <c r="T8" s="25"/>
      <c r="U8" s="68"/>
      <c r="V8" s="65"/>
      <c r="W8" s="65"/>
      <c r="X8" s="69"/>
      <c r="Y8" s="25"/>
      <c r="Z8" s="26"/>
    </row>
    <row r="9" spans="2:26" x14ac:dyDescent="0.35">
      <c r="B9" s="24"/>
      <c r="C9" s="44" t="s">
        <v>136</v>
      </c>
      <c r="D9" s="45">
        <v>494887.5</v>
      </c>
      <c r="E9" s="46">
        <v>1175750</v>
      </c>
      <c r="F9" s="25"/>
      <c r="G9" s="25"/>
      <c r="H9" s="25"/>
      <c r="I9" s="25"/>
      <c r="J9" s="25"/>
      <c r="K9" s="25"/>
      <c r="L9" s="25"/>
      <c r="M9" s="25"/>
      <c r="N9" s="25"/>
      <c r="O9" s="25"/>
      <c r="P9" s="25"/>
      <c r="Q9" s="25"/>
      <c r="R9" s="25"/>
      <c r="S9" s="25"/>
      <c r="T9" s="25"/>
      <c r="U9" s="68"/>
      <c r="V9" s="65"/>
      <c r="W9" s="65"/>
      <c r="X9" s="69"/>
      <c r="Y9" s="25"/>
      <c r="Z9" s="26"/>
    </row>
    <row r="10" spans="2:26" x14ac:dyDescent="0.35">
      <c r="B10" s="24"/>
      <c r="C10" s="44" t="s">
        <v>137</v>
      </c>
      <c r="D10" s="45">
        <v>673572.5</v>
      </c>
      <c r="E10" s="46">
        <v>1355000</v>
      </c>
      <c r="F10" s="25"/>
      <c r="G10" s="25"/>
      <c r="H10" s="25"/>
      <c r="I10" s="25"/>
      <c r="J10" s="25"/>
      <c r="K10" s="25"/>
      <c r="L10" s="25"/>
      <c r="M10" s="25"/>
      <c r="N10" s="25"/>
      <c r="O10" s="25"/>
      <c r="P10" s="25"/>
      <c r="Q10" s="25"/>
      <c r="R10" s="25"/>
      <c r="S10" s="25"/>
      <c r="T10" s="25"/>
      <c r="U10" s="68"/>
      <c r="V10" s="65"/>
      <c r="W10" s="65"/>
      <c r="X10" s="69"/>
      <c r="Y10" s="25"/>
      <c r="Z10" s="26"/>
    </row>
    <row r="11" spans="2:26" x14ac:dyDescent="0.35">
      <c r="B11" s="24"/>
      <c r="C11" s="44" t="s">
        <v>138</v>
      </c>
      <c r="D11" s="45">
        <v>903837.5</v>
      </c>
      <c r="E11" s="46">
        <v>1624750</v>
      </c>
      <c r="F11" s="25"/>
      <c r="G11" s="25"/>
      <c r="H11" s="25"/>
      <c r="I11" s="25"/>
      <c r="J11" s="25"/>
      <c r="K11" s="25"/>
      <c r="L11" s="25"/>
      <c r="M11" s="25"/>
      <c r="N11" s="25"/>
      <c r="O11" s="25"/>
      <c r="P11" s="25"/>
      <c r="Q11" s="25"/>
      <c r="R11" s="25"/>
      <c r="S11" s="25"/>
      <c r="T11" s="25"/>
      <c r="U11" s="68"/>
      <c r="V11" s="65"/>
      <c r="W11" s="65"/>
      <c r="X11" s="69"/>
      <c r="Y11" s="25"/>
      <c r="Z11" s="26"/>
    </row>
    <row r="12" spans="2:26" x14ac:dyDescent="0.35">
      <c r="B12" s="24"/>
      <c r="C12" s="44" t="s">
        <v>139</v>
      </c>
      <c r="D12" s="45">
        <v>1041437.5</v>
      </c>
      <c r="E12" s="46">
        <v>1762500</v>
      </c>
      <c r="F12" s="25"/>
      <c r="G12" s="25"/>
      <c r="H12" s="25"/>
      <c r="I12" s="25"/>
      <c r="J12" s="25"/>
      <c r="K12" s="25"/>
      <c r="L12" s="25"/>
      <c r="M12" s="25"/>
      <c r="N12" s="25"/>
      <c r="O12" s="25"/>
      <c r="P12" s="25"/>
      <c r="Q12" s="25"/>
      <c r="R12" s="25"/>
      <c r="S12" s="25"/>
      <c r="T12" s="25"/>
      <c r="U12" s="68"/>
      <c r="V12" s="65"/>
      <c r="W12" s="65"/>
      <c r="X12" s="69"/>
      <c r="Y12" s="25"/>
      <c r="Z12" s="26"/>
    </row>
    <row r="13" spans="2:26" x14ac:dyDescent="0.35">
      <c r="B13" s="24"/>
      <c r="C13" s="44" t="s">
        <v>140</v>
      </c>
      <c r="D13" s="45">
        <v>945275</v>
      </c>
      <c r="E13" s="46">
        <v>1654000</v>
      </c>
      <c r="F13" s="25"/>
      <c r="G13" s="25"/>
      <c r="H13" s="25"/>
      <c r="I13" s="25"/>
      <c r="J13" s="25"/>
      <c r="K13" s="25"/>
      <c r="L13" s="25"/>
      <c r="M13" s="25"/>
      <c r="N13" s="25"/>
      <c r="O13" s="25"/>
      <c r="P13" s="25"/>
      <c r="Q13" s="25"/>
      <c r="R13" s="25"/>
      <c r="S13" s="25"/>
      <c r="T13" s="25"/>
      <c r="U13" s="68"/>
      <c r="V13" s="65"/>
      <c r="W13" s="65"/>
      <c r="X13" s="69"/>
      <c r="Y13" s="25"/>
      <c r="Z13" s="26"/>
    </row>
    <row r="14" spans="2:26" x14ac:dyDescent="0.35">
      <c r="B14" s="24"/>
      <c r="C14" s="44" t="s">
        <v>141</v>
      </c>
      <c r="D14" s="45">
        <v>681000</v>
      </c>
      <c r="E14" s="46">
        <v>1377250</v>
      </c>
      <c r="F14" s="25"/>
      <c r="G14" s="25"/>
      <c r="H14" s="25"/>
      <c r="I14" s="25"/>
      <c r="J14" s="25"/>
      <c r="K14" s="25"/>
      <c r="L14" s="25"/>
      <c r="M14" s="25"/>
      <c r="N14" s="25"/>
      <c r="O14" s="25"/>
      <c r="P14" s="25"/>
      <c r="Q14" s="25"/>
      <c r="R14" s="25"/>
      <c r="S14" s="25"/>
      <c r="T14" s="25"/>
      <c r="U14" s="68"/>
      <c r="V14" s="65"/>
      <c r="W14" s="65"/>
      <c r="X14" s="69"/>
      <c r="Y14" s="25"/>
      <c r="Z14" s="26"/>
    </row>
    <row r="15" spans="2:26" x14ac:dyDescent="0.35">
      <c r="B15" s="24"/>
      <c r="C15" s="44" t="s">
        <v>142</v>
      </c>
      <c r="D15" s="45">
        <v>623375</v>
      </c>
      <c r="E15" s="46">
        <v>1253250</v>
      </c>
      <c r="F15" s="25"/>
      <c r="G15" s="25"/>
      <c r="H15" s="25"/>
      <c r="I15" s="25"/>
      <c r="J15" s="25"/>
      <c r="K15" s="25"/>
      <c r="L15" s="25"/>
      <c r="M15" s="25"/>
      <c r="N15" s="25"/>
      <c r="O15" s="25"/>
      <c r="P15" s="25"/>
      <c r="Q15" s="25"/>
      <c r="R15" s="25"/>
      <c r="S15" s="25"/>
      <c r="T15" s="25"/>
      <c r="U15" s="68"/>
      <c r="V15" s="65"/>
      <c r="W15" s="65"/>
      <c r="X15" s="69"/>
      <c r="Y15" s="25"/>
      <c r="Z15" s="26"/>
    </row>
    <row r="16" spans="2:26" x14ac:dyDescent="0.35">
      <c r="B16" s="24"/>
      <c r="C16" s="44" t="s">
        <v>143</v>
      </c>
      <c r="D16" s="45">
        <v>795612.5</v>
      </c>
      <c r="E16" s="46">
        <v>1442500</v>
      </c>
      <c r="F16" s="25"/>
      <c r="G16" s="25"/>
      <c r="H16" s="25"/>
      <c r="I16" s="25"/>
      <c r="J16" s="25"/>
      <c r="K16" s="25"/>
      <c r="L16" s="25"/>
      <c r="M16" s="25"/>
      <c r="N16" s="25"/>
      <c r="O16" s="25"/>
      <c r="P16" s="25"/>
      <c r="Q16" s="25"/>
      <c r="R16" s="25"/>
      <c r="S16" s="25"/>
      <c r="T16" s="25"/>
      <c r="U16" s="68"/>
      <c r="V16" s="65"/>
      <c r="W16" s="65"/>
      <c r="X16" s="69"/>
      <c r="Y16" s="25"/>
      <c r="Z16" s="26"/>
    </row>
    <row r="17" spans="2:26" x14ac:dyDescent="0.35">
      <c r="B17" s="24"/>
      <c r="C17" s="44" t="s">
        <v>144</v>
      </c>
      <c r="D17" s="45">
        <v>1045775</v>
      </c>
      <c r="E17" s="46">
        <v>1677000</v>
      </c>
      <c r="F17" s="25"/>
      <c r="G17" s="25"/>
      <c r="H17" s="25"/>
      <c r="I17" s="25"/>
      <c r="J17" s="25"/>
      <c r="K17" s="25"/>
      <c r="L17" s="25"/>
      <c r="M17" s="25"/>
      <c r="N17" s="25"/>
      <c r="O17" s="25"/>
      <c r="P17" s="25"/>
      <c r="Q17" s="25"/>
      <c r="R17" s="25"/>
      <c r="S17" s="25"/>
      <c r="T17" s="25"/>
      <c r="U17" s="70"/>
      <c r="V17" s="77"/>
      <c r="W17" s="77"/>
      <c r="X17" s="71"/>
      <c r="Y17" s="25"/>
      <c r="Z17" s="26"/>
    </row>
    <row r="18" spans="2:26" x14ac:dyDescent="0.35">
      <c r="B18" s="24"/>
      <c r="C18" s="47" t="s">
        <v>132</v>
      </c>
      <c r="D18" s="48">
        <v>8684027.5</v>
      </c>
      <c r="E18" s="49">
        <v>17148250</v>
      </c>
      <c r="F18" s="25"/>
      <c r="G18" s="25"/>
      <c r="H18" s="25"/>
      <c r="I18" s="25"/>
      <c r="J18" s="25"/>
      <c r="K18" s="25"/>
      <c r="L18" s="25"/>
      <c r="M18" s="25"/>
      <c r="N18" s="25"/>
      <c r="O18" s="25"/>
      <c r="P18" s="25"/>
      <c r="Q18" s="25"/>
      <c r="R18" s="25"/>
      <c r="S18" s="25"/>
      <c r="T18" s="25"/>
      <c r="U18" s="25"/>
      <c r="V18" s="25"/>
      <c r="W18" s="25"/>
      <c r="X18" s="25"/>
      <c r="Y18" s="25"/>
      <c r="Z18" s="26"/>
    </row>
    <row r="19" spans="2:26" x14ac:dyDescent="0.35">
      <c r="B19" s="24"/>
      <c r="C19" s="25"/>
      <c r="D19" s="25"/>
      <c r="E19" s="25"/>
      <c r="F19" s="25"/>
      <c r="G19" s="25"/>
      <c r="H19" s="25"/>
      <c r="I19" s="25"/>
      <c r="J19" s="25"/>
      <c r="K19" s="25"/>
      <c r="L19" s="25"/>
      <c r="M19" s="25"/>
      <c r="N19" s="25"/>
      <c r="O19" s="25"/>
      <c r="P19" s="25"/>
      <c r="Q19" s="25"/>
      <c r="R19" s="25"/>
      <c r="S19" s="25"/>
      <c r="T19" s="25"/>
      <c r="U19" s="25"/>
      <c r="V19" s="25"/>
      <c r="W19" s="25"/>
      <c r="X19" s="25"/>
      <c r="Y19" s="25"/>
      <c r="Z19" s="26"/>
    </row>
    <row r="20" spans="2:26" x14ac:dyDescent="0.35">
      <c r="B20" s="27"/>
      <c r="C20" s="28"/>
      <c r="D20" s="28"/>
      <c r="E20" s="28"/>
      <c r="F20" s="28"/>
      <c r="G20" s="28"/>
      <c r="H20" s="28"/>
      <c r="I20" s="28"/>
      <c r="J20" s="28"/>
      <c r="K20" s="28"/>
      <c r="L20" s="28"/>
      <c r="M20" s="28"/>
      <c r="N20" s="28"/>
      <c r="O20" s="28"/>
      <c r="P20" s="28"/>
      <c r="Q20" s="28"/>
      <c r="R20" s="28"/>
      <c r="S20" s="28"/>
      <c r="T20" s="28"/>
      <c r="U20" s="28"/>
      <c r="V20" s="28"/>
      <c r="W20" s="28"/>
      <c r="X20" s="28"/>
      <c r="Y20" s="28"/>
      <c r="Z20" s="29"/>
    </row>
    <row r="22" spans="2:26" x14ac:dyDescent="0.35">
      <c r="B22" s="21"/>
      <c r="C22" s="22"/>
      <c r="D22" s="22"/>
      <c r="E22" s="22"/>
      <c r="F22" s="22"/>
      <c r="G22" s="22"/>
      <c r="H22" s="22"/>
      <c r="I22" s="22"/>
      <c r="J22" s="22"/>
      <c r="K22" s="22"/>
      <c r="L22" s="22"/>
      <c r="M22" s="22"/>
      <c r="N22" s="22"/>
      <c r="O22" s="22"/>
      <c r="P22" s="22"/>
      <c r="Q22" s="22"/>
      <c r="R22" s="22"/>
      <c r="S22" s="22"/>
      <c r="T22" s="22"/>
      <c r="U22" s="22"/>
      <c r="V22" s="22"/>
      <c r="W22" s="22"/>
      <c r="X22" s="22"/>
      <c r="Y22" s="22"/>
      <c r="Z22" s="23"/>
    </row>
    <row r="23" spans="2:26" x14ac:dyDescent="0.35">
      <c r="B23" s="24"/>
      <c r="C23" s="25"/>
      <c r="D23" s="25"/>
      <c r="E23" s="59" t="s">
        <v>150</v>
      </c>
      <c r="F23" s="73"/>
      <c r="G23" s="73"/>
      <c r="H23" s="73"/>
      <c r="I23" s="73"/>
      <c r="J23" s="73"/>
      <c r="K23" s="73"/>
      <c r="L23" s="73"/>
      <c r="M23" s="73"/>
      <c r="N23" s="73"/>
      <c r="O23" s="73"/>
      <c r="P23" s="73"/>
      <c r="Q23" s="73"/>
      <c r="R23" s="73"/>
      <c r="S23" s="73"/>
      <c r="T23" s="73"/>
      <c r="U23" s="73"/>
      <c r="V23" s="74"/>
      <c r="W23" s="25"/>
      <c r="X23" s="25"/>
      <c r="Y23" s="25"/>
      <c r="Z23" s="26"/>
    </row>
    <row r="24" spans="2:26" x14ac:dyDescent="0.35">
      <c r="B24" s="24"/>
      <c r="C24" s="25"/>
      <c r="D24" s="25"/>
      <c r="E24" s="25"/>
      <c r="F24" s="25"/>
      <c r="G24" s="25"/>
      <c r="H24" s="25"/>
      <c r="I24" s="25"/>
      <c r="J24" s="25"/>
      <c r="K24" s="25"/>
      <c r="L24" s="25"/>
      <c r="M24" s="25"/>
      <c r="N24" s="25"/>
      <c r="O24" s="25"/>
      <c r="P24" s="25"/>
      <c r="Q24" s="25"/>
      <c r="R24" s="25"/>
      <c r="S24" s="25"/>
      <c r="T24" s="25"/>
      <c r="U24" s="25"/>
      <c r="V24" s="25"/>
      <c r="W24" s="25"/>
      <c r="X24" s="25"/>
      <c r="Y24" s="25"/>
      <c r="Z24" s="26"/>
    </row>
    <row r="25" spans="2:26" x14ac:dyDescent="0.35">
      <c r="B25" s="24"/>
      <c r="C25" s="25"/>
      <c r="D25" s="25"/>
      <c r="E25" s="25"/>
      <c r="F25" s="25"/>
      <c r="G25" s="25"/>
      <c r="H25" s="25"/>
      <c r="I25" s="25"/>
      <c r="J25" s="25"/>
      <c r="K25" s="25"/>
      <c r="L25" s="25"/>
      <c r="M25" s="25"/>
      <c r="N25" s="25"/>
      <c r="O25" s="25"/>
      <c r="P25" s="25"/>
      <c r="Q25" s="25"/>
      <c r="R25" s="25"/>
      <c r="S25" s="25"/>
      <c r="T25" s="25"/>
      <c r="U25" s="25"/>
      <c r="V25" s="25"/>
      <c r="W25" s="25"/>
      <c r="X25" s="25"/>
      <c r="Y25" s="25"/>
      <c r="Z25" s="26"/>
    </row>
    <row r="26" spans="2:26" x14ac:dyDescent="0.35">
      <c r="B26" s="24"/>
      <c r="C26" s="25"/>
      <c r="D26" s="25"/>
      <c r="E26" s="25"/>
      <c r="F26" s="25"/>
      <c r="G26" s="25"/>
      <c r="H26" s="25"/>
      <c r="I26" s="25"/>
      <c r="J26" s="25"/>
      <c r="K26" s="25"/>
      <c r="L26" s="25"/>
      <c r="M26" s="25"/>
      <c r="N26" s="25"/>
      <c r="O26" s="25"/>
      <c r="P26" s="25"/>
      <c r="Q26" s="25"/>
      <c r="R26" s="25"/>
      <c r="S26" s="25"/>
      <c r="T26" s="25"/>
      <c r="U26" s="25"/>
      <c r="V26" s="25"/>
      <c r="W26" s="25"/>
      <c r="X26" s="25"/>
      <c r="Y26" s="25"/>
      <c r="Z26" s="26"/>
    </row>
    <row r="27" spans="2:26" x14ac:dyDescent="0.35">
      <c r="B27" s="24"/>
      <c r="C27" s="35" t="s">
        <v>5</v>
      </c>
      <c r="D27" s="35" t="s">
        <v>146</v>
      </c>
      <c r="E27" s="25"/>
      <c r="F27" s="25"/>
      <c r="G27" s="25"/>
      <c r="H27" s="25"/>
      <c r="I27" s="25"/>
      <c r="J27" s="25"/>
      <c r="K27" s="25"/>
      <c r="L27" s="25"/>
      <c r="M27" s="25"/>
      <c r="N27" s="25"/>
      <c r="O27" s="25"/>
      <c r="P27" s="25"/>
      <c r="Q27" s="25"/>
      <c r="R27" s="25"/>
      <c r="S27" s="25"/>
      <c r="T27" s="25"/>
      <c r="U27" s="25"/>
      <c r="V27" s="25"/>
      <c r="W27" s="25"/>
      <c r="X27" s="25"/>
      <c r="Y27" s="25"/>
      <c r="Z27" s="26"/>
    </row>
    <row r="28" spans="2:26" ht="16" customHeight="1" x14ac:dyDescent="0.35">
      <c r="B28" s="24"/>
      <c r="C28" s="31" t="s">
        <v>33</v>
      </c>
      <c r="D28" s="41">
        <v>0.13243970035792724</v>
      </c>
      <c r="E28" s="25"/>
      <c r="F28" s="25"/>
      <c r="G28" s="25"/>
      <c r="H28" s="25"/>
      <c r="I28" s="25"/>
      <c r="J28" s="25"/>
      <c r="K28" s="25"/>
      <c r="L28" s="25"/>
      <c r="M28" s="25"/>
      <c r="N28" s="25"/>
      <c r="O28" s="25"/>
      <c r="P28" s="25"/>
      <c r="Q28" s="25"/>
      <c r="R28" s="25"/>
      <c r="S28" s="25"/>
      <c r="T28" s="25"/>
      <c r="U28" s="25"/>
      <c r="V28" s="66" t="s">
        <v>153</v>
      </c>
      <c r="W28" s="76"/>
      <c r="X28" s="67"/>
      <c r="Y28" s="25"/>
      <c r="Z28" s="26"/>
    </row>
    <row r="29" spans="2:26" x14ac:dyDescent="0.35">
      <c r="B29" s="24"/>
      <c r="C29" s="31" t="s">
        <v>15</v>
      </c>
      <c r="D29" s="41">
        <v>0.20593526448413482</v>
      </c>
      <c r="E29" s="25"/>
      <c r="F29" s="25"/>
      <c r="G29" s="25"/>
      <c r="H29" s="25"/>
      <c r="I29" s="25"/>
      <c r="J29" s="25"/>
      <c r="K29" s="25"/>
      <c r="L29" s="25"/>
      <c r="M29" s="25"/>
      <c r="N29" s="25"/>
      <c r="O29" s="25"/>
      <c r="P29" s="25"/>
      <c r="Q29" s="25"/>
      <c r="R29" s="25"/>
      <c r="S29" s="25"/>
      <c r="T29" s="25"/>
      <c r="U29" s="25"/>
      <c r="V29" s="68"/>
      <c r="W29" s="65"/>
      <c r="X29" s="69"/>
      <c r="Y29" s="25"/>
      <c r="Z29" s="26"/>
    </row>
    <row r="30" spans="2:26" x14ac:dyDescent="0.35">
      <c r="B30" s="24"/>
      <c r="C30" s="31" t="s">
        <v>24</v>
      </c>
      <c r="D30" s="41">
        <v>0.14872534662056286</v>
      </c>
      <c r="E30" s="25"/>
      <c r="F30" s="25"/>
      <c r="G30" s="25"/>
      <c r="H30" s="25"/>
      <c r="I30" s="25"/>
      <c r="J30" s="25"/>
      <c r="K30" s="25"/>
      <c r="L30" s="25"/>
      <c r="M30" s="25"/>
      <c r="N30" s="25"/>
      <c r="O30" s="25"/>
      <c r="P30" s="25"/>
      <c r="Q30" s="25"/>
      <c r="R30" s="25"/>
      <c r="S30" s="25"/>
      <c r="T30" s="25"/>
      <c r="U30" s="25"/>
      <c r="V30" s="68"/>
      <c r="W30" s="65"/>
      <c r="X30" s="69"/>
      <c r="Y30" s="25"/>
      <c r="Z30" s="26"/>
    </row>
    <row r="31" spans="2:26" x14ac:dyDescent="0.35">
      <c r="B31" s="24"/>
      <c r="C31" s="31" t="s">
        <v>46</v>
      </c>
      <c r="D31" s="41">
        <v>0.18642674726674921</v>
      </c>
      <c r="E31" s="25"/>
      <c r="F31" s="25"/>
      <c r="G31" s="25"/>
      <c r="H31" s="25"/>
      <c r="I31" s="25"/>
      <c r="J31" s="25"/>
      <c r="K31" s="25"/>
      <c r="L31" s="25"/>
      <c r="M31" s="25"/>
      <c r="N31" s="25"/>
      <c r="O31" s="25"/>
      <c r="P31" s="25"/>
      <c r="Q31" s="25"/>
      <c r="R31" s="25"/>
      <c r="S31" s="25"/>
      <c r="T31" s="25"/>
      <c r="U31" s="25"/>
      <c r="V31" s="68"/>
      <c r="W31" s="65"/>
      <c r="X31" s="69"/>
      <c r="Y31" s="25"/>
      <c r="Z31" s="26"/>
    </row>
    <row r="32" spans="2:26" x14ac:dyDescent="0.35">
      <c r="B32" s="24"/>
      <c r="C32" s="31" t="s">
        <v>28</v>
      </c>
      <c r="D32" s="41">
        <v>0.32647294127062587</v>
      </c>
      <c r="E32" s="25"/>
      <c r="F32" s="25"/>
      <c r="G32" s="25"/>
      <c r="H32" s="25"/>
      <c r="I32" s="25"/>
      <c r="J32" s="25"/>
      <c r="K32" s="25"/>
      <c r="L32" s="25"/>
      <c r="M32" s="25"/>
      <c r="N32" s="25"/>
      <c r="O32" s="25"/>
      <c r="P32" s="25"/>
      <c r="Q32" s="25"/>
      <c r="R32" s="25"/>
      <c r="S32" s="25"/>
      <c r="T32" s="25"/>
      <c r="U32" s="25"/>
      <c r="V32" s="68"/>
      <c r="W32" s="65"/>
      <c r="X32" s="69"/>
      <c r="Y32" s="25"/>
      <c r="Z32" s="26"/>
    </row>
    <row r="33" spans="2:26" x14ac:dyDescent="0.35">
      <c r="B33" s="24"/>
      <c r="C33" s="35" t="s">
        <v>132</v>
      </c>
      <c r="D33" s="40">
        <v>1</v>
      </c>
      <c r="E33" s="25"/>
      <c r="F33" s="25"/>
      <c r="G33" s="25"/>
      <c r="H33" s="25"/>
      <c r="I33" s="25"/>
      <c r="J33" s="25"/>
      <c r="K33" s="25"/>
      <c r="L33" s="25"/>
      <c r="M33" s="25"/>
      <c r="N33" s="25"/>
      <c r="O33" s="25"/>
      <c r="P33" s="25"/>
      <c r="Q33" s="25"/>
      <c r="R33" s="25"/>
      <c r="S33" s="25"/>
      <c r="T33" s="25"/>
      <c r="U33" s="25"/>
      <c r="V33" s="68"/>
      <c r="W33" s="65"/>
      <c r="X33" s="69"/>
      <c r="Y33" s="25"/>
      <c r="Z33" s="26"/>
    </row>
    <row r="34" spans="2:26" x14ac:dyDescent="0.35">
      <c r="B34" s="24"/>
      <c r="C34" s="25"/>
      <c r="D34" s="25"/>
      <c r="E34" s="25"/>
      <c r="F34" s="25"/>
      <c r="G34" s="25"/>
      <c r="H34" s="25"/>
      <c r="I34" s="25"/>
      <c r="J34" s="25"/>
      <c r="K34" s="25"/>
      <c r="L34" s="25"/>
      <c r="M34" s="25"/>
      <c r="N34" s="25"/>
      <c r="O34" s="25"/>
      <c r="P34" s="25"/>
      <c r="Q34" s="25"/>
      <c r="R34" s="25"/>
      <c r="S34" s="25"/>
      <c r="T34" s="25"/>
      <c r="U34" s="25"/>
      <c r="V34" s="68"/>
      <c r="W34" s="65"/>
      <c r="X34" s="69"/>
      <c r="Y34" s="25"/>
      <c r="Z34" s="26"/>
    </row>
    <row r="35" spans="2:26" x14ac:dyDescent="0.35">
      <c r="B35" s="24"/>
      <c r="C35" s="25"/>
      <c r="D35" s="25"/>
      <c r="E35" s="25"/>
      <c r="F35" s="25"/>
      <c r="G35" s="25"/>
      <c r="H35" s="25"/>
      <c r="I35" s="25"/>
      <c r="J35" s="25"/>
      <c r="K35" s="25"/>
      <c r="L35" s="25"/>
      <c r="M35" s="25"/>
      <c r="N35" s="25"/>
      <c r="O35" s="25"/>
      <c r="P35" s="25"/>
      <c r="Q35" s="25"/>
      <c r="R35" s="25"/>
      <c r="S35" s="25"/>
      <c r="T35" s="25"/>
      <c r="U35" s="25"/>
      <c r="V35" s="68"/>
      <c r="W35" s="65"/>
      <c r="X35" s="69"/>
      <c r="Y35" s="25"/>
      <c r="Z35" s="26"/>
    </row>
    <row r="36" spans="2:26" x14ac:dyDescent="0.35">
      <c r="B36" s="24"/>
      <c r="C36" s="25"/>
      <c r="D36" s="25"/>
      <c r="E36" s="25"/>
      <c r="F36" s="25"/>
      <c r="G36" s="25"/>
      <c r="H36" s="25"/>
      <c r="I36" s="25"/>
      <c r="J36" s="25"/>
      <c r="K36" s="25"/>
      <c r="L36" s="25"/>
      <c r="M36" s="25"/>
      <c r="N36" s="25"/>
      <c r="O36" s="25"/>
      <c r="P36" s="25"/>
      <c r="Q36" s="25"/>
      <c r="R36" s="25"/>
      <c r="S36" s="25"/>
      <c r="T36" s="25"/>
      <c r="U36" s="25"/>
      <c r="V36" s="68"/>
      <c r="W36" s="65"/>
      <c r="X36" s="69"/>
      <c r="Y36" s="25"/>
      <c r="Z36" s="26"/>
    </row>
    <row r="37" spans="2:26" x14ac:dyDescent="0.35">
      <c r="B37" s="24"/>
      <c r="C37" s="25"/>
      <c r="D37" s="25"/>
      <c r="E37" s="25"/>
      <c r="F37" s="25"/>
      <c r="G37" s="25"/>
      <c r="H37" s="25"/>
      <c r="I37" s="25"/>
      <c r="J37" s="25"/>
      <c r="K37" s="25"/>
      <c r="L37" s="25"/>
      <c r="M37" s="25"/>
      <c r="N37" s="25"/>
      <c r="O37" s="25"/>
      <c r="P37" s="25"/>
      <c r="Q37" s="25"/>
      <c r="R37" s="25"/>
      <c r="S37" s="25"/>
      <c r="T37" s="25"/>
      <c r="U37" s="25"/>
      <c r="V37" s="70"/>
      <c r="W37" s="77"/>
      <c r="X37" s="71"/>
      <c r="Y37" s="25"/>
      <c r="Z37" s="26"/>
    </row>
    <row r="38" spans="2:26" x14ac:dyDescent="0.35">
      <c r="B38" s="24"/>
      <c r="C38" s="25"/>
      <c r="D38" s="25"/>
      <c r="E38" s="25"/>
      <c r="F38" s="25"/>
      <c r="G38" s="25"/>
      <c r="H38" s="25"/>
      <c r="I38" s="25"/>
      <c r="J38" s="25"/>
      <c r="K38" s="25"/>
      <c r="L38" s="25"/>
      <c r="M38" s="25"/>
      <c r="N38" s="25"/>
      <c r="O38" s="25"/>
      <c r="P38" s="25"/>
      <c r="Q38" s="25"/>
      <c r="R38" s="25"/>
      <c r="S38" s="25"/>
      <c r="T38" s="25"/>
      <c r="U38" s="25"/>
      <c r="V38" s="25"/>
      <c r="W38" s="25"/>
      <c r="X38" s="25"/>
      <c r="Y38" s="25"/>
      <c r="Z38" s="26"/>
    </row>
    <row r="39" spans="2:26" x14ac:dyDescent="0.35">
      <c r="B39" s="24"/>
      <c r="C39" s="25"/>
      <c r="D39" s="25"/>
      <c r="E39" s="25"/>
      <c r="F39" s="25"/>
      <c r="G39" s="25"/>
      <c r="H39" s="25"/>
      <c r="I39" s="25"/>
      <c r="J39" s="25"/>
      <c r="K39" s="25"/>
      <c r="L39" s="25"/>
      <c r="M39" s="25"/>
      <c r="N39" s="25"/>
      <c r="O39" s="25"/>
      <c r="P39" s="25"/>
      <c r="Q39" s="25"/>
      <c r="R39" s="25"/>
      <c r="S39" s="25"/>
      <c r="T39" s="25"/>
      <c r="U39" s="25"/>
      <c r="V39" s="25"/>
      <c r="W39" s="25"/>
      <c r="X39" s="25"/>
      <c r="Y39" s="25"/>
      <c r="Z39" s="26"/>
    </row>
    <row r="40" spans="2:26" x14ac:dyDescent="0.35">
      <c r="B40" s="24"/>
      <c r="C40" s="25"/>
      <c r="D40" s="25"/>
      <c r="E40" s="25"/>
      <c r="F40" s="25"/>
      <c r="G40" s="25"/>
      <c r="H40" s="25"/>
      <c r="I40" s="25"/>
      <c r="J40" s="25"/>
      <c r="K40" s="25"/>
      <c r="L40" s="25"/>
      <c r="M40" s="25"/>
      <c r="N40" s="25"/>
      <c r="O40" s="25"/>
      <c r="P40" s="25"/>
      <c r="Q40" s="25"/>
      <c r="R40" s="25"/>
      <c r="S40" s="25"/>
      <c r="T40" s="25"/>
      <c r="U40" s="25"/>
      <c r="V40" s="25"/>
      <c r="W40" s="25"/>
      <c r="X40" s="25"/>
      <c r="Y40" s="25"/>
      <c r="Z40" s="26"/>
    </row>
    <row r="41" spans="2:26" x14ac:dyDescent="0.35">
      <c r="B41" s="24"/>
      <c r="C41" s="25"/>
      <c r="D41" s="25"/>
      <c r="E41" s="25"/>
      <c r="F41" s="25"/>
      <c r="G41" s="25"/>
      <c r="H41" s="25"/>
      <c r="I41" s="25"/>
      <c r="J41" s="25"/>
      <c r="K41" s="25"/>
      <c r="L41" s="25"/>
      <c r="M41" s="25"/>
      <c r="N41" s="25"/>
      <c r="O41" s="25"/>
      <c r="P41" s="25"/>
      <c r="Q41" s="25"/>
      <c r="R41" s="25"/>
      <c r="S41" s="25"/>
      <c r="T41" s="25"/>
      <c r="U41" s="25"/>
      <c r="V41" s="25"/>
      <c r="W41" s="25"/>
      <c r="X41" s="25"/>
      <c r="Y41" s="25"/>
      <c r="Z41" s="26"/>
    </row>
    <row r="42" spans="2:26" x14ac:dyDescent="0.35">
      <c r="B42" s="27"/>
      <c r="C42" s="28"/>
      <c r="D42" s="28"/>
      <c r="E42" s="28"/>
      <c r="F42" s="28"/>
      <c r="G42" s="28"/>
      <c r="H42" s="28"/>
      <c r="I42" s="28"/>
      <c r="J42" s="28"/>
      <c r="K42" s="28"/>
      <c r="L42" s="28"/>
      <c r="M42" s="28"/>
      <c r="N42" s="28"/>
      <c r="O42" s="28"/>
      <c r="P42" s="28"/>
      <c r="Q42" s="28"/>
      <c r="R42" s="28"/>
      <c r="S42" s="28"/>
      <c r="T42" s="28"/>
      <c r="U42" s="28"/>
      <c r="V42" s="28"/>
      <c r="W42" s="28"/>
      <c r="X42" s="28"/>
      <c r="Y42" s="28"/>
      <c r="Z42" s="29"/>
    </row>
    <row r="44" spans="2:26" x14ac:dyDescent="0.35">
      <c r="B44" s="21"/>
      <c r="C44" s="22"/>
      <c r="D44" s="22"/>
      <c r="E44" s="22"/>
      <c r="F44" s="22"/>
      <c r="G44" s="22"/>
      <c r="H44" s="22"/>
      <c r="I44" s="22"/>
      <c r="J44" s="22"/>
      <c r="K44" s="22"/>
      <c r="L44" s="22"/>
      <c r="M44" s="22"/>
      <c r="N44" s="22"/>
      <c r="O44" s="22"/>
      <c r="P44" s="22"/>
      <c r="Q44" s="22"/>
      <c r="R44" s="22"/>
      <c r="S44" s="22"/>
      <c r="T44" s="22"/>
      <c r="U44" s="22"/>
      <c r="V44" s="22"/>
      <c r="W44" s="22"/>
      <c r="X44" s="22"/>
      <c r="Y44" s="22"/>
      <c r="Z44" s="23"/>
    </row>
    <row r="45" spans="2:26" x14ac:dyDescent="0.35">
      <c r="B45" s="24"/>
      <c r="C45" s="25"/>
      <c r="D45" s="25"/>
      <c r="E45" s="59" t="s">
        <v>151</v>
      </c>
      <c r="F45" s="38"/>
      <c r="G45" s="38"/>
      <c r="H45" s="38"/>
      <c r="I45" s="38"/>
      <c r="J45" s="38"/>
      <c r="K45" s="38"/>
      <c r="L45" s="38"/>
      <c r="M45" s="38"/>
      <c r="N45" s="38"/>
      <c r="O45" s="38"/>
      <c r="P45" s="38"/>
      <c r="Q45" s="38"/>
      <c r="R45" s="38"/>
      <c r="S45" s="38"/>
      <c r="T45" s="38"/>
      <c r="U45" s="39"/>
      <c r="V45" s="25"/>
      <c r="W45" s="25"/>
      <c r="X45" s="25"/>
      <c r="Y45" s="25"/>
      <c r="Z45" s="26"/>
    </row>
    <row r="46" spans="2:26" x14ac:dyDescent="0.35">
      <c r="B46" s="24"/>
      <c r="C46" s="25"/>
      <c r="D46" s="25"/>
      <c r="E46" s="25"/>
      <c r="F46" s="25"/>
      <c r="G46" s="25"/>
      <c r="H46" s="25"/>
      <c r="I46" s="25"/>
      <c r="J46" s="25"/>
      <c r="K46" s="25"/>
      <c r="L46" s="25"/>
      <c r="M46" s="25"/>
      <c r="N46" s="25"/>
      <c r="O46" s="25"/>
      <c r="P46" s="25"/>
      <c r="Q46" s="25"/>
      <c r="R46" s="25"/>
      <c r="S46" s="25"/>
      <c r="T46" s="25"/>
      <c r="U46" s="25"/>
      <c r="V46" s="25"/>
      <c r="W46" s="25"/>
      <c r="X46" s="25"/>
      <c r="Y46" s="25"/>
      <c r="Z46" s="26"/>
    </row>
    <row r="47" spans="2:26" x14ac:dyDescent="0.35">
      <c r="B47" s="24"/>
      <c r="C47" s="25"/>
      <c r="D47" s="25"/>
      <c r="E47" s="25"/>
      <c r="F47" s="25"/>
      <c r="G47" s="25"/>
      <c r="H47" s="25"/>
      <c r="I47" s="25"/>
      <c r="J47" s="25"/>
      <c r="K47" s="25"/>
      <c r="L47" s="25"/>
      <c r="M47" s="25"/>
      <c r="N47" s="25"/>
      <c r="O47" s="25"/>
      <c r="P47" s="25"/>
      <c r="Q47" s="25"/>
      <c r="R47" s="25"/>
      <c r="S47" s="25"/>
      <c r="T47" s="25"/>
      <c r="U47" s="25"/>
      <c r="V47" s="25"/>
      <c r="W47" s="25"/>
      <c r="X47" s="25"/>
      <c r="Y47" s="25"/>
      <c r="Z47" s="26"/>
    </row>
    <row r="48" spans="2:26" x14ac:dyDescent="0.35">
      <c r="B48" s="24"/>
      <c r="C48" s="25"/>
      <c r="D48" s="25"/>
      <c r="E48" s="25"/>
      <c r="F48" s="25"/>
      <c r="G48" s="25"/>
      <c r="H48" s="25"/>
      <c r="I48" s="25"/>
      <c r="J48" s="25"/>
      <c r="K48" s="25"/>
      <c r="L48" s="25"/>
      <c r="M48" s="25"/>
      <c r="N48" s="25"/>
      <c r="O48" s="25"/>
      <c r="P48" s="25"/>
      <c r="Q48" s="25"/>
      <c r="R48" s="25"/>
      <c r="S48" s="25"/>
      <c r="T48" s="25"/>
      <c r="U48" s="25"/>
      <c r="V48" s="25"/>
      <c r="W48" s="25"/>
      <c r="X48" s="25"/>
      <c r="Y48" s="25"/>
      <c r="Z48" s="26"/>
    </row>
    <row r="49" spans="2:26" x14ac:dyDescent="0.35">
      <c r="B49" s="24"/>
      <c r="C49" s="34" t="s">
        <v>2</v>
      </c>
      <c r="D49" s="34" t="s">
        <v>146</v>
      </c>
      <c r="E49" s="25"/>
      <c r="F49" s="25"/>
      <c r="G49" s="25"/>
      <c r="H49" s="25"/>
      <c r="I49" s="25"/>
      <c r="J49" s="25"/>
      <c r="K49" s="25"/>
      <c r="L49" s="25"/>
      <c r="M49" s="25"/>
      <c r="N49" s="25"/>
      <c r="O49" s="25"/>
      <c r="P49" s="25"/>
      <c r="Q49" s="25"/>
      <c r="R49" s="25"/>
      <c r="S49" s="25"/>
      <c r="T49" s="25"/>
      <c r="U49" s="25"/>
      <c r="V49" s="25"/>
      <c r="W49" s="25"/>
      <c r="X49" s="25"/>
      <c r="Y49" s="25"/>
      <c r="Z49" s="26"/>
    </row>
    <row r="50" spans="2:26" ht="14.5" customHeight="1" x14ac:dyDescent="0.35">
      <c r="B50" s="24"/>
      <c r="C50" s="31" t="s">
        <v>23</v>
      </c>
      <c r="D50" s="41">
        <v>0.14872534662056286</v>
      </c>
      <c r="E50" s="25"/>
      <c r="F50" s="25"/>
      <c r="G50" s="25"/>
      <c r="H50" s="25"/>
      <c r="I50" s="25"/>
      <c r="J50" s="25"/>
      <c r="K50" s="25"/>
      <c r="L50" s="25"/>
      <c r="M50" s="25"/>
      <c r="N50" s="25"/>
      <c r="O50" s="25"/>
      <c r="P50" s="25"/>
      <c r="Q50" s="25"/>
      <c r="R50" s="25"/>
      <c r="S50" s="25"/>
      <c r="T50" s="25"/>
      <c r="U50" s="25"/>
      <c r="V50" s="50" t="s">
        <v>154</v>
      </c>
      <c r="W50" s="51"/>
      <c r="X50" s="52"/>
      <c r="Y50" s="25"/>
      <c r="Z50" s="26"/>
    </row>
    <row r="51" spans="2:26" x14ac:dyDescent="0.35">
      <c r="B51" s="24"/>
      <c r="C51" s="31" t="s">
        <v>31</v>
      </c>
      <c r="D51" s="41">
        <v>4.6569693612785082E-2</v>
      </c>
      <c r="E51" s="25"/>
      <c r="F51" s="25"/>
      <c r="G51" s="25"/>
      <c r="H51" s="25"/>
      <c r="I51" s="25"/>
      <c r="J51" s="25"/>
      <c r="K51" s="25"/>
      <c r="L51" s="25"/>
      <c r="M51" s="25"/>
      <c r="N51" s="25"/>
      <c r="O51" s="25"/>
      <c r="P51" s="25"/>
      <c r="Q51" s="25"/>
      <c r="R51" s="25"/>
      <c r="S51" s="25"/>
      <c r="T51" s="25"/>
      <c r="U51" s="25"/>
      <c r="V51" s="53"/>
      <c r="W51" s="54"/>
      <c r="X51" s="55"/>
      <c r="Y51" s="25"/>
      <c r="Z51" s="26"/>
    </row>
    <row r="52" spans="2:26" x14ac:dyDescent="0.35">
      <c r="B52" s="24"/>
      <c r="C52" s="31" t="s">
        <v>27</v>
      </c>
      <c r="D52" s="41">
        <v>0.2976096056812349</v>
      </c>
      <c r="E52" s="25"/>
      <c r="F52" s="25"/>
      <c r="G52" s="25"/>
      <c r="H52" s="25"/>
      <c r="I52" s="25"/>
      <c r="J52" s="25"/>
      <c r="K52" s="25"/>
      <c r="L52" s="25"/>
      <c r="M52" s="25"/>
      <c r="N52" s="25"/>
      <c r="O52" s="25"/>
      <c r="P52" s="25"/>
      <c r="Q52" s="25"/>
      <c r="R52" s="25"/>
      <c r="S52" s="25"/>
      <c r="T52" s="25"/>
      <c r="U52" s="25"/>
      <c r="V52" s="53"/>
      <c r="W52" s="54"/>
      <c r="X52" s="55"/>
      <c r="Y52" s="25"/>
      <c r="Z52" s="26"/>
    </row>
    <row r="53" spans="2:26" x14ac:dyDescent="0.35">
      <c r="B53" s="24"/>
      <c r="C53" s="31" t="s">
        <v>14</v>
      </c>
      <c r="D53" s="41">
        <v>0.50709535408541717</v>
      </c>
      <c r="E53" s="25"/>
      <c r="F53" s="25"/>
      <c r="G53" s="25"/>
      <c r="H53" s="25"/>
      <c r="I53" s="25"/>
      <c r="J53" s="25"/>
      <c r="K53" s="25"/>
      <c r="L53" s="25"/>
      <c r="M53" s="25"/>
      <c r="N53" s="25"/>
      <c r="O53" s="25"/>
      <c r="P53" s="25"/>
      <c r="Q53" s="25"/>
      <c r="R53" s="25"/>
      <c r="S53" s="25"/>
      <c r="T53" s="25"/>
      <c r="U53" s="25"/>
      <c r="V53" s="53"/>
      <c r="W53" s="54"/>
      <c r="X53" s="55"/>
      <c r="Y53" s="25"/>
      <c r="Z53" s="26"/>
    </row>
    <row r="54" spans="2:26" x14ac:dyDescent="0.35">
      <c r="B54" s="24"/>
      <c r="C54" s="35" t="s">
        <v>132</v>
      </c>
      <c r="D54" s="40">
        <v>1</v>
      </c>
      <c r="E54" s="25"/>
      <c r="F54" s="25"/>
      <c r="G54" s="25"/>
      <c r="H54" s="25"/>
      <c r="I54" s="25"/>
      <c r="J54" s="25"/>
      <c r="K54" s="25"/>
      <c r="L54" s="25"/>
      <c r="M54" s="25"/>
      <c r="N54" s="25"/>
      <c r="O54" s="25"/>
      <c r="P54" s="25"/>
      <c r="Q54" s="25"/>
      <c r="R54" s="25"/>
      <c r="S54" s="25"/>
      <c r="T54" s="25"/>
      <c r="U54" s="25"/>
      <c r="V54" s="53"/>
      <c r="W54" s="54"/>
      <c r="X54" s="55"/>
      <c r="Y54" s="25"/>
      <c r="Z54" s="26"/>
    </row>
    <row r="55" spans="2:26" x14ac:dyDescent="0.35">
      <c r="B55" s="24"/>
      <c r="C55" s="25"/>
      <c r="D55" s="25"/>
      <c r="E55" s="25"/>
      <c r="F55" s="25"/>
      <c r="G55" s="25"/>
      <c r="H55" s="25"/>
      <c r="I55" s="25"/>
      <c r="J55" s="25"/>
      <c r="K55" s="25"/>
      <c r="L55" s="25"/>
      <c r="M55" s="25"/>
      <c r="N55" s="25"/>
      <c r="O55" s="25"/>
      <c r="P55" s="25"/>
      <c r="Q55" s="25"/>
      <c r="R55" s="25"/>
      <c r="S55" s="25"/>
      <c r="T55" s="25"/>
      <c r="U55" s="25"/>
      <c r="V55" s="53"/>
      <c r="W55" s="54"/>
      <c r="X55" s="55"/>
      <c r="Y55" s="25"/>
      <c r="Z55" s="26"/>
    </row>
    <row r="56" spans="2:26" x14ac:dyDescent="0.35">
      <c r="B56" s="24"/>
      <c r="C56" s="25"/>
      <c r="D56" s="25"/>
      <c r="E56" s="25"/>
      <c r="F56" s="25"/>
      <c r="G56" s="25"/>
      <c r="H56" s="25"/>
      <c r="I56" s="25"/>
      <c r="J56" s="25"/>
      <c r="K56" s="25"/>
      <c r="L56" s="25"/>
      <c r="M56" s="25"/>
      <c r="N56" s="25"/>
      <c r="O56" s="25"/>
      <c r="P56" s="25"/>
      <c r="Q56" s="25"/>
      <c r="R56" s="25"/>
      <c r="S56" s="25"/>
      <c r="T56" s="25"/>
      <c r="U56" s="25"/>
      <c r="V56" s="53"/>
      <c r="W56" s="54"/>
      <c r="X56" s="55"/>
      <c r="Y56" s="25"/>
      <c r="Z56" s="26"/>
    </row>
    <row r="57" spans="2:26" x14ac:dyDescent="0.35">
      <c r="B57" s="24"/>
      <c r="C57" s="25"/>
      <c r="D57" s="25"/>
      <c r="E57" s="25"/>
      <c r="F57" s="25"/>
      <c r="G57" s="25"/>
      <c r="H57" s="25"/>
      <c r="I57" s="25"/>
      <c r="J57" s="25"/>
      <c r="K57" s="25"/>
      <c r="L57" s="25"/>
      <c r="M57" s="25"/>
      <c r="N57" s="25"/>
      <c r="O57" s="25"/>
      <c r="P57" s="25"/>
      <c r="Q57" s="25"/>
      <c r="R57" s="25"/>
      <c r="S57" s="25"/>
      <c r="T57" s="25"/>
      <c r="U57" s="25"/>
      <c r="V57" s="53"/>
      <c r="W57" s="54"/>
      <c r="X57" s="55"/>
      <c r="Y57" s="25"/>
      <c r="Z57" s="26"/>
    </row>
    <row r="58" spans="2:26" x14ac:dyDescent="0.35">
      <c r="B58" s="24"/>
      <c r="C58" s="25"/>
      <c r="D58" s="25"/>
      <c r="E58" s="25"/>
      <c r="F58" s="25"/>
      <c r="G58" s="25"/>
      <c r="H58" s="25"/>
      <c r="I58" s="25"/>
      <c r="J58" s="25"/>
      <c r="K58" s="25"/>
      <c r="L58" s="25"/>
      <c r="M58" s="25"/>
      <c r="N58" s="25"/>
      <c r="O58" s="25"/>
      <c r="P58" s="25"/>
      <c r="Q58" s="25"/>
      <c r="R58" s="25"/>
      <c r="S58" s="25"/>
      <c r="T58" s="25"/>
      <c r="U58" s="25"/>
      <c r="V58" s="53"/>
      <c r="W58" s="54"/>
      <c r="X58" s="55"/>
      <c r="Y58" s="25"/>
      <c r="Z58" s="26"/>
    </row>
    <row r="59" spans="2:26" x14ac:dyDescent="0.35">
      <c r="B59" s="24"/>
      <c r="C59" s="25"/>
      <c r="D59" s="25"/>
      <c r="E59" s="25"/>
      <c r="F59" s="25"/>
      <c r="G59" s="25"/>
      <c r="H59" s="25"/>
      <c r="I59" s="25"/>
      <c r="J59" s="25"/>
      <c r="K59" s="25"/>
      <c r="L59" s="25"/>
      <c r="M59" s="25"/>
      <c r="N59" s="25"/>
      <c r="O59" s="25"/>
      <c r="P59" s="25"/>
      <c r="Q59" s="25"/>
      <c r="R59" s="25"/>
      <c r="S59" s="25"/>
      <c r="T59" s="25"/>
      <c r="U59" s="25"/>
      <c r="V59" s="53"/>
      <c r="W59" s="54"/>
      <c r="X59" s="55"/>
      <c r="Y59" s="25"/>
      <c r="Z59" s="26"/>
    </row>
    <row r="60" spans="2:26" x14ac:dyDescent="0.35">
      <c r="B60" s="24"/>
      <c r="C60" s="25"/>
      <c r="D60" s="25"/>
      <c r="E60" s="25"/>
      <c r="F60" s="25"/>
      <c r="G60" s="25"/>
      <c r="H60" s="25"/>
      <c r="I60" s="25"/>
      <c r="J60" s="25"/>
      <c r="K60" s="25"/>
      <c r="L60" s="25"/>
      <c r="M60" s="25"/>
      <c r="N60" s="25"/>
      <c r="O60" s="25"/>
      <c r="P60" s="25"/>
      <c r="Q60" s="25"/>
      <c r="R60" s="25"/>
      <c r="S60" s="25"/>
      <c r="T60" s="25"/>
      <c r="U60" s="25"/>
      <c r="V60" s="56"/>
      <c r="W60" s="57"/>
      <c r="X60" s="58"/>
      <c r="Y60" s="25"/>
      <c r="Z60" s="26"/>
    </row>
    <row r="61" spans="2:26" x14ac:dyDescent="0.35">
      <c r="B61" s="24"/>
      <c r="C61" s="25"/>
      <c r="D61" s="25"/>
      <c r="E61" s="25"/>
      <c r="F61" s="25"/>
      <c r="G61" s="25"/>
      <c r="H61" s="25"/>
      <c r="I61" s="25"/>
      <c r="J61" s="25"/>
      <c r="K61" s="25"/>
      <c r="L61" s="25"/>
      <c r="M61" s="25"/>
      <c r="N61" s="25"/>
      <c r="O61" s="25"/>
      <c r="P61" s="25"/>
      <c r="Q61" s="25"/>
      <c r="R61" s="25"/>
      <c r="S61" s="25"/>
      <c r="T61" s="25"/>
      <c r="U61" s="25"/>
      <c r="V61" s="25"/>
      <c r="W61" s="25"/>
      <c r="X61" s="25"/>
      <c r="Y61" s="25"/>
      <c r="Z61" s="26"/>
    </row>
    <row r="62" spans="2:26" x14ac:dyDescent="0.35">
      <c r="B62" s="24"/>
      <c r="C62" s="25"/>
      <c r="D62" s="25"/>
      <c r="E62" s="25"/>
      <c r="F62" s="25"/>
      <c r="G62" s="25"/>
      <c r="H62" s="25"/>
      <c r="I62" s="25"/>
      <c r="J62" s="25"/>
      <c r="K62" s="25"/>
      <c r="L62" s="25"/>
      <c r="M62" s="25"/>
      <c r="N62" s="25"/>
      <c r="O62" s="25"/>
      <c r="P62" s="25"/>
      <c r="Q62" s="25"/>
      <c r="R62" s="25"/>
      <c r="S62" s="25"/>
      <c r="T62" s="25"/>
      <c r="U62" s="25"/>
      <c r="V62" s="25"/>
      <c r="W62" s="25"/>
      <c r="X62" s="25"/>
      <c r="Y62" s="25"/>
      <c r="Z62" s="26"/>
    </row>
    <row r="63" spans="2:26" x14ac:dyDescent="0.35">
      <c r="B63" s="24"/>
      <c r="C63" s="25"/>
      <c r="D63" s="25"/>
      <c r="E63" s="25"/>
      <c r="F63" s="25"/>
      <c r="G63" s="25"/>
      <c r="H63" s="25"/>
      <c r="I63" s="25"/>
      <c r="J63" s="25"/>
      <c r="K63" s="25"/>
      <c r="L63" s="25"/>
      <c r="M63" s="25"/>
      <c r="N63" s="25"/>
      <c r="O63" s="25"/>
      <c r="P63" s="25"/>
      <c r="Q63" s="25"/>
      <c r="R63" s="25"/>
      <c r="S63" s="25"/>
      <c r="T63" s="25"/>
      <c r="U63" s="25"/>
      <c r="V63" s="25"/>
      <c r="W63" s="25"/>
      <c r="X63" s="25"/>
      <c r="Y63" s="25"/>
      <c r="Z63" s="26"/>
    </row>
    <row r="64" spans="2:26" x14ac:dyDescent="0.35">
      <c r="B64" s="24"/>
      <c r="C64" s="25"/>
      <c r="D64" s="25"/>
      <c r="E64" s="25"/>
      <c r="F64" s="25"/>
      <c r="G64" s="25"/>
      <c r="H64" s="25"/>
      <c r="I64" s="25"/>
      <c r="J64" s="25"/>
      <c r="K64" s="25"/>
      <c r="L64" s="25"/>
      <c r="M64" s="25"/>
      <c r="N64" s="25"/>
      <c r="O64" s="25"/>
      <c r="P64" s="25"/>
      <c r="Q64" s="25"/>
      <c r="R64" s="25"/>
      <c r="S64" s="25"/>
      <c r="T64" s="25"/>
      <c r="U64" s="25"/>
      <c r="V64" s="25"/>
      <c r="W64" s="25"/>
      <c r="X64" s="25"/>
      <c r="Y64" s="25"/>
      <c r="Z64" s="26"/>
    </row>
    <row r="65" spans="2:26" x14ac:dyDescent="0.35">
      <c r="B65" s="24"/>
      <c r="C65" s="25"/>
      <c r="D65" s="25"/>
      <c r="E65" s="25"/>
      <c r="F65" s="25"/>
      <c r="G65" s="25"/>
      <c r="H65" s="25"/>
      <c r="I65" s="25"/>
      <c r="J65" s="25"/>
      <c r="K65" s="25"/>
      <c r="L65" s="25"/>
      <c r="M65" s="25"/>
      <c r="N65" s="25"/>
      <c r="O65" s="25"/>
      <c r="P65" s="25"/>
      <c r="Q65" s="25"/>
      <c r="R65" s="25"/>
      <c r="S65" s="25"/>
      <c r="T65" s="25"/>
      <c r="U65" s="25"/>
      <c r="V65" s="25"/>
      <c r="W65" s="25"/>
      <c r="X65" s="25"/>
      <c r="Y65" s="25"/>
      <c r="Z65" s="26"/>
    </row>
    <row r="66" spans="2:26" x14ac:dyDescent="0.35">
      <c r="B66" s="27"/>
      <c r="C66" s="28"/>
      <c r="D66" s="28"/>
      <c r="E66" s="28"/>
      <c r="F66" s="28"/>
      <c r="G66" s="28"/>
      <c r="H66" s="28"/>
      <c r="I66" s="28"/>
      <c r="J66" s="28"/>
      <c r="K66" s="28"/>
      <c r="L66" s="28"/>
      <c r="M66" s="28"/>
      <c r="N66" s="28"/>
      <c r="O66" s="28"/>
      <c r="P66" s="28"/>
      <c r="Q66" s="28"/>
      <c r="R66" s="28"/>
      <c r="S66" s="28"/>
      <c r="T66" s="28"/>
      <c r="U66" s="28"/>
      <c r="V66" s="28"/>
      <c r="W66" s="28"/>
      <c r="X66" s="28"/>
      <c r="Y66" s="28"/>
      <c r="Z66" s="29"/>
    </row>
    <row r="68" spans="2:26" x14ac:dyDescent="0.35">
      <c r="B68" s="21"/>
      <c r="C68" s="22"/>
      <c r="D68" s="22"/>
      <c r="E68" s="22"/>
      <c r="F68" s="22"/>
      <c r="G68" s="22"/>
      <c r="H68" s="22"/>
      <c r="I68" s="22"/>
      <c r="J68" s="22"/>
      <c r="K68" s="22"/>
      <c r="L68" s="22"/>
      <c r="M68" s="22"/>
      <c r="N68" s="22"/>
      <c r="O68" s="22"/>
      <c r="P68" s="22"/>
      <c r="Q68" s="22"/>
      <c r="R68" s="22"/>
      <c r="S68" s="22"/>
      <c r="T68" s="22"/>
      <c r="U68" s="22"/>
      <c r="V68" s="22"/>
      <c r="W68" s="22"/>
      <c r="X68" s="22"/>
      <c r="Y68" s="22"/>
      <c r="Z68" s="23"/>
    </row>
    <row r="69" spans="2:26" x14ac:dyDescent="0.35">
      <c r="B69" s="24"/>
      <c r="C69" s="25"/>
      <c r="D69" s="25"/>
      <c r="E69" s="59" t="s">
        <v>155</v>
      </c>
      <c r="F69" s="60"/>
      <c r="G69" s="60"/>
      <c r="H69" s="60"/>
      <c r="I69" s="60"/>
      <c r="J69" s="60"/>
      <c r="K69" s="60"/>
      <c r="L69" s="60"/>
      <c r="M69" s="60"/>
      <c r="N69" s="60"/>
      <c r="O69" s="60"/>
      <c r="P69" s="60"/>
      <c r="Q69" s="60"/>
      <c r="R69" s="60"/>
      <c r="S69" s="60"/>
      <c r="T69" s="60"/>
      <c r="U69" s="61"/>
      <c r="V69" s="25"/>
      <c r="W69" s="25"/>
      <c r="X69" s="25"/>
      <c r="Y69" s="25"/>
      <c r="Z69" s="26"/>
    </row>
    <row r="70" spans="2:26" x14ac:dyDescent="0.35">
      <c r="B70" s="24"/>
      <c r="C70" s="25"/>
      <c r="D70" s="25"/>
      <c r="E70" s="25"/>
      <c r="F70" s="25"/>
      <c r="G70" s="25"/>
      <c r="H70" s="25"/>
      <c r="I70" s="25"/>
      <c r="J70" s="25"/>
      <c r="K70" s="25"/>
      <c r="L70" s="25"/>
      <c r="M70" s="25"/>
      <c r="N70" s="25"/>
      <c r="O70" s="25"/>
      <c r="P70" s="25"/>
      <c r="Q70" s="25"/>
      <c r="R70" s="25"/>
      <c r="S70" s="25"/>
      <c r="T70" s="25"/>
      <c r="U70" s="25"/>
      <c r="V70" s="25"/>
      <c r="W70" s="25"/>
      <c r="X70" s="25"/>
      <c r="Y70" s="25"/>
      <c r="Z70" s="26"/>
    </row>
    <row r="71" spans="2:26" x14ac:dyDescent="0.35">
      <c r="B71" s="24"/>
      <c r="C71" s="25"/>
      <c r="D71" s="25"/>
      <c r="E71" s="25"/>
      <c r="F71" s="25"/>
      <c r="G71" s="25"/>
      <c r="H71" s="25"/>
      <c r="I71" s="25"/>
      <c r="J71" s="25"/>
      <c r="K71" s="25"/>
      <c r="L71" s="25"/>
      <c r="M71" s="25"/>
      <c r="N71" s="25"/>
      <c r="O71" s="25"/>
      <c r="P71" s="25"/>
      <c r="Q71" s="25"/>
      <c r="R71" s="25"/>
      <c r="S71" s="25"/>
      <c r="T71" s="25"/>
      <c r="U71" s="25"/>
      <c r="V71" s="25"/>
      <c r="W71" s="25"/>
      <c r="X71" s="25"/>
      <c r="Y71" s="25"/>
      <c r="Z71" s="26"/>
    </row>
    <row r="72" spans="2:26" x14ac:dyDescent="0.35">
      <c r="B72" s="24"/>
      <c r="C72" s="25"/>
      <c r="D72" s="25"/>
      <c r="E72" s="25"/>
      <c r="F72" s="25"/>
      <c r="G72" s="25"/>
      <c r="H72" s="25"/>
      <c r="I72" s="25"/>
      <c r="J72" s="25"/>
      <c r="K72" s="25"/>
      <c r="L72" s="25"/>
      <c r="M72" s="25"/>
      <c r="N72" s="25"/>
      <c r="O72" s="25"/>
      <c r="P72" s="25"/>
      <c r="Q72" s="25"/>
      <c r="R72" s="25"/>
      <c r="S72" s="25"/>
      <c r="T72" s="25"/>
      <c r="U72" s="25"/>
      <c r="V72" s="25"/>
      <c r="W72" s="25"/>
      <c r="X72" s="25"/>
      <c r="Y72" s="25"/>
      <c r="Z72" s="26"/>
    </row>
    <row r="73" spans="2:26" x14ac:dyDescent="0.35">
      <c r="B73" s="24"/>
      <c r="C73" s="34" t="s">
        <v>8</v>
      </c>
      <c r="D73" s="34" t="s">
        <v>146</v>
      </c>
      <c r="E73" s="25"/>
      <c r="F73" s="25"/>
      <c r="G73" s="25"/>
      <c r="H73" s="25"/>
      <c r="I73" s="25"/>
      <c r="J73" s="25"/>
      <c r="K73" s="25"/>
      <c r="L73" s="25"/>
      <c r="M73" s="25"/>
      <c r="N73" s="25"/>
      <c r="O73" s="25"/>
      <c r="P73" s="25"/>
      <c r="Q73" s="25"/>
      <c r="R73" s="25"/>
      <c r="S73" s="25"/>
      <c r="T73" s="25"/>
      <c r="U73" s="25"/>
      <c r="V73" s="66" t="s">
        <v>156</v>
      </c>
      <c r="W73" s="78"/>
      <c r="X73" s="79"/>
      <c r="Y73" s="25"/>
      <c r="Z73" s="26"/>
    </row>
    <row r="74" spans="2:26" x14ac:dyDescent="0.35">
      <c r="B74" s="24"/>
      <c r="C74" s="31" t="s">
        <v>17</v>
      </c>
      <c r="D74" s="41">
        <v>0.23213768035626325</v>
      </c>
      <c r="E74" s="25"/>
      <c r="F74" s="25"/>
      <c r="G74" s="25"/>
      <c r="H74" s="25"/>
      <c r="I74" s="25"/>
      <c r="J74" s="25"/>
      <c r="K74" s="25"/>
      <c r="L74" s="25"/>
      <c r="M74" s="25"/>
      <c r="N74" s="25"/>
      <c r="O74" s="25"/>
      <c r="P74" s="25"/>
      <c r="Q74" s="25"/>
      <c r="R74" s="25"/>
      <c r="S74" s="25"/>
      <c r="T74" s="25"/>
      <c r="U74" s="25"/>
      <c r="V74" s="80"/>
      <c r="W74" s="75"/>
      <c r="X74" s="81"/>
      <c r="Y74" s="25"/>
      <c r="Z74" s="26"/>
    </row>
    <row r="75" spans="2:26" x14ac:dyDescent="0.35">
      <c r="B75" s="24"/>
      <c r="C75" s="31" t="s">
        <v>22</v>
      </c>
      <c r="D75" s="41">
        <v>0.19873699156295854</v>
      </c>
      <c r="E75" s="25"/>
      <c r="F75" s="25"/>
      <c r="G75" s="25"/>
      <c r="H75" s="25"/>
      <c r="I75" s="25"/>
      <c r="J75" s="25"/>
      <c r="K75" s="25"/>
      <c r="L75" s="25"/>
      <c r="M75" s="25"/>
      <c r="N75" s="25"/>
      <c r="O75" s="25"/>
      <c r="P75" s="25"/>
      <c r="Q75" s="25"/>
      <c r="R75" s="25"/>
      <c r="S75" s="25"/>
      <c r="T75" s="25"/>
      <c r="U75" s="25"/>
      <c r="V75" s="80"/>
      <c r="W75" s="75"/>
      <c r="X75" s="81"/>
      <c r="Y75" s="25"/>
      <c r="Z75" s="26"/>
    </row>
    <row r="76" spans="2:26" x14ac:dyDescent="0.35">
      <c r="B76" s="24"/>
      <c r="C76" s="31" t="s">
        <v>18</v>
      </c>
      <c r="D76" s="41">
        <v>0.17059192868746673</v>
      </c>
      <c r="E76" s="25"/>
      <c r="F76" s="25"/>
      <c r="G76" s="25"/>
      <c r="H76" s="25"/>
      <c r="I76" s="25"/>
      <c r="J76" s="25"/>
      <c r="K76" s="25"/>
      <c r="L76" s="25"/>
      <c r="M76" s="25"/>
      <c r="N76" s="25"/>
      <c r="O76" s="25"/>
      <c r="P76" s="25"/>
      <c r="Q76" s="25"/>
      <c r="R76" s="25"/>
      <c r="S76" s="25"/>
      <c r="T76" s="25"/>
      <c r="U76" s="25"/>
      <c r="V76" s="80"/>
      <c r="W76" s="75"/>
      <c r="X76" s="81"/>
      <c r="Y76" s="25"/>
      <c r="Z76" s="26"/>
    </row>
    <row r="77" spans="2:26" x14ac:dyDescent="0.35">
      <c r="B77" s="24"/>
      <c r="C77" s="31" t="s">
        <v>20</v>
      </c>
      <c r="D77" s="41">
        <v>0.11879856437580374</v>
      </c>
      <c r="E77" s="25"/>
      <c r="F77" s="25"/>
      <c r="G77" s="25"/>
      <c r="H77" s="25"/>
      <c r="I77" s="25"/>
      <c r="J77" s="25"/>
      <c r="K77" s="25"/>
      <c r="L77" s="25"/>
      <c r="M77" s="25"/>
      <c r="N77" s="25"/>
      <c r="O77" s="25"/>
      <c r="P77" s="25"/>
      <c r="Q77" s="25"/>
      <c r="R77" s="25"/>
      <c r="S77" s="25"/>
      <c r="T77" s="25"/>
      <c r="U77" s="25"/>
      <c r="V77" s="80"/>
      <c r="W77" s="75"/>
      <c r="X77" s="81"/>
      <c r="Y77" s="25"/>
      <c r="Z77" s="26"/>
    </row>
    <row r="78" spans="2:26" x14ac:dyDescent="0.35">
      <c r="B78" s="24"/>
      <c r="C78" s="31" t="s">
        <v>21</v>
      </c>
      <c r="D78" s="41">
        <v>0.13745206357303683</v>
      </c>
      <c r="E78" s="25"/>
      <c r="F78" s="25"/>
      <c r="G78" s="25"/>
      <c r="H78" s="25"/>
      <c r="I78" s="25"/>
      <c r="J78" s="25"/>
      <c r="K78" s="25"/>
      <c r="L78" s="25"/>
      <c r="M78" s="25"/>
      <c r="N78" s="25"/>
      <c r="O78" s="25"/>
      <c r="P78" s="25"/>
      <c r="Q78" s="25"/>
      <c r="R78" s="25"/>
      <c r="S78" s="25"/>
      <c r="T78" s="25"/>
      <c r="U78" s="25"/>
      <c r="V78" s="80"/>
      <c r="W78" s="75"/>
      <c r="X78" s="81"/>
      <c r="Y78" s="25"/>
      <c r="Z78" s="26"/>
    </row>
    <row r="79" spans="2:26" x14ac:dyDescent="0.35">
      <c r="B79" s="24"/>
      <c r="C79" s="31" t="s">
        <v>19</v>
      </c>
      <c r="D79" s="41">
        <v>0.14228277144447091</v>
      </c>
      <c r="E79" s="25"/>
      <c r="F79" s="25"/>
      <c r="G79" s="25"/>
      <c r="H79" s="25"/>
      <c r="I79" s="25"/>
      <c r="J79" s="25"/>
      <c r="K79" s="25"/>
      <c r="L79" s="25"/>
      <c r="M79" s="25"/>
      <c r="N79" s="25"/>
      <c r="O79" s="25"/>
      <c r="P79" s="25"/>
      <c r="Q79" s="25"/>
      <c r="R79" s="25"/>
      <c r="S79" s="25"/>
      <c r="T79" s="25"/>
      <c r="U79" s="25"/>
      <c r="V79" s="80"/>
      <c r="W79" s="75"/>
      <c r="X79" s="81"/>
      <c r="Y79" s="25"/>
      <c r="Z79" s="26"/>
    </row>
    <row r="80" spans="2:26" x14ac:dyDescent="0.35">
      <c r="B80" s="24"/>
      <c r="C80" s="35" t="s">
        <v>132</v>
      </c>
      <c r="D80" s="40">
        <v>1</v>
      </c>
      <c r="E80" s="25"/>
      <c r="F80" s="25"/>
      <c r="G80" s="25"/>
      <c r="H80" s="25"/>
      <c r="I80" s="25"/>
      <c r="J80" s="25"/>
      <c r="K80" s="25"/>
      <c r="L80" s="25"/>
      <c r="M80" s="25"/>
      <c r="N80" s="25"/>
      <c r="O80" s="25"/>
      <c r="P80" s="25"/>
      <c r="Q80" s="25"/>
      <c r="R80" s="25"/>
      <c r="S80" s="25"/>
      <c r="T80" s="25"/>
      <c r="U80" s="25"/>
      <c r="V80" s="80"/>
      <c r="W80" s="75"/>
      <c r="X80" s="81"/>
      <c r="Y80" s="25"/>
      <c r="Z80" s="26"/>
    </row>
    <row r="81" spans="2:26" x14ac:dyDescent="0.35">
      <c r="B81" s="24"/>
      <c r="C81" s="25"/>
      <c r="D81" s="25"/>
      <c r="E81" s="25"/>
      <c r="F81" s="25"/>
      <c r="G81" s="25"/>
      <c r="H81" s="25"/>
      <c r="I81" s="25"/>
      <c r="J81" s="25"/>
      <c r="K81" s="25"/>
      <c r="L81" s="25"/>
      <c r="M81" s="25"/>
      <c r="N81" s="25"/>
      <c r="O81" s="25"/>
      <c r="P81" s="25"/>
      <c r="Q81" s="25"/>
      <c r="R81" s="25"/>
      <c r="S81" s="25"/>
      <c r="T81" s="25"/>
      <c r="U81" s="25"/>
      <c r="V81" s="80"/>
      <c r="W81" s="75"/>
      <c r="X81" s="81"/>
      <c r="Y81" s="25"/>
      <c r="Z81" s="26"/>
    </row>
    <row r="82" spans="2:26" x14ac:dyDescent="0.35">
      <c r="B82" s="24"/>
      <c r="C82" s="25"/>
      <c r="D82" s="25"/>
      <c r="E82" s="25"/>
      <c r="F82" s="25"/>
      <c r="G82" s="25"/>
      <c r="H82" s="25"/>
      <c r="I82" s="25"/>
      <c r="J82" s="25"/>
      <c r="K82" s="25"/>
      <c r="L82" s="25"/>
      <c r="M82" s="25"/>
      <c r="N82" s="25"/>
      <c r="O82" s="25"/>
      <c r="P82" s="25"/>
      <c r="Q82" s="25"/>
      <c r="R82" s="25"/>
      <c r="S82" s="25"/>
      <c r="T82" s="25"/>
      <c r="U82" s="25"/>
      <c r="V82" s="80"/>
      <c r="W82" s="75"/>
      <c r="X82" s="81"/>
      <c r="Y82" s="25"/>
      <c r="Z82" s="26"/>
    </row>
    <row r="83" spans="2:26" x14ac:dyDescent="0.35">
      <c r="B83" s="24"/>
      <c r="C83" s="25"/>
      <c r="D83" s="25"/>
      <c r="E83" s="25"/>
      <c r="F83" s="25"/>
      <c r="G83" s="25"/>
      <c r="H83" s="25"/>
      <c r="I83" s="25"/>
      <c r="J83" s="25"/>
      <c r="K83" s="25"/>
      <c r="L83" s="25"/>
      <c r="M83" s="25"/>
      <c r="N83" s="25"/>
      <c r="O83" s="25"/>
      <c r="P83" s="25"/>
      <c r="Q83" s="25"/>
      <c r="R83" s="25"/>
      <c r="S83" s="25"/>
      <c r="T83" s="25"/>
      <c r="U83" s="25"/>
      <c r="V83" s="82"/>
      <c r="W83" s="83"/>
      <c r="X83" s="84"/>
      <c r="Y83" s="25"/>
      <c r="Z83" s="26"/>
    </row>
    <row r="84" spans="2:26" x14ac:dyDescent="0.35">
      <c r="B84" s="24"/>
      <c r="C84" s="25"/>
      <c r="D84" s="25"/>
      <c r="E84" s="25"/>
      <c r="F84" s="25"/>
      <c r="G84" s="25"/>
      <c r="H84" s="25"/>
      <c r="I84" s="25"/>
      <c r="J84" s="25"/>
      <c r="K84" s="25"/>
      <c r="L84" s="25"/>
      <c r="M84" s="25"/>
      <c r="N84" s="25"/>
      <c r="O84" s="25"/>
      <c r="P84" s="25"/>
      <c r="Q84" s="25"/>
      <c r="R84" s="25"/>
      <c r="S84" s="25"/>
      <c r="T84" s="25"/>
      <c r="U84" s="25"/>
      <c r="V84" s="25"/>
      <c r="W84" s="25"/>
      <c r="X84" s="25"/>
      <c r="Y84" s="25"/>
      <c r="Z84" s="26"/>
    </row>
    <row r="85" spans="2:26" x14ac:dyDescent="0.35">
      <c r="B85" s="24"/>
      <c r="C85" s="25"/>
      <c r="D85" s="25"/>
      <c r="E85" s="25"/>
      <c r="F85" s="25"/>
      <c r="G85" s="25"/>
      <c r="H85" s="25"/>
      <c r="I85" s="25"/>
      <c r="J85" s="25"/>
      <c r="K85" s="25"/>
      <c r="L85" s="25"/>
      <c r="M85" s="25"/>
      <c r="N85" s="25"/>
      <c r="O85" s="25"/>
      <c r="P85" s="25"/>
      <c r="Q85" s="25"/>
      <c r="R85" s="25"/>
      <c r="S85" s="25"/>
      <c r="T85" s="25"/>
      <c r="U85" s="25"/>
      <c r="V85" s="25"/>
      <c r="W85" s="25"/>
      <c r="X85" s="25"/>
      <c r="Y85" s="25"/>
      <c r="Z85" s="26"/>
    </row>
    <row r="86" spans="2:26" x14ac:dyDescent="0.35">
      <c r="B86" s="24"/>
      <c r="C86" s="25"/>
      <c r="D86" s="25"/>
      <c r="E86" s="25"/>
      <c r="F86" s="25"/>
      <c r="G86" s="25"/>
      <c r="H86" s="25"/>
      <c r="I86" s="25"/>
      <c r="J86" s="25"/>
      <c r="K86" s="25"/>
      <c r="L86" s="25"/>
      <c r="M86" s="25"/>
      <c r="N86" s="25"/>
      <c r="O86" s="25"/>
      <c r="P86" s="25"/>
      <c r="Q86" s="25"/>
      <c r="R86" s="25"/>
      <c r="S86" s="25"/>
      <c r="T86" s="25"/>
      <c r="U86" s="25"/>
      <c r="V86" s="25"/>
      <c r="W86" s="25"/>
      <c r="X86" s="25"/>
      <c r="Y86" s="25"/>
      <c r="Z86" s="26"/>
    </row>
    <row r="87" spans="2:26" x14ac:dyDescent="0.35">
      <c r="B87" s="24"/>
      <c r="C87" s="25"/>
      <c r="D87" s="25"/>
      <c r="E87" s="25"/>
      <c r="F87" s="25"/>
      <c r="G87" s="25"/>
      <c r="H87" s="25"/>
      <c r="I87" s="25"/>
      <c r="J87" s="25"/>
      <c r="K87" s="25"/>
      <c r="L87" s="25"/>
      <c r="M87" s="25"/>
      <c r="N87" s="25"/>
      <c r="O87" s="25"/>
      <c r="P87" s="25"/>
      <c r="Q87" s="25"/>
      <c r="R87" s="25"/>
      <c r="S87" s="25"/>
      <c r="T87" s="25"/>
      <c r="U87" s="25"/>
      <c r="V87" s="25"/>
      <c r="W87" s="25"/>
      <c r="X87" s="25"/>
      <c r="Y87" s="25"/>
      <c r="Z87" s="26"/>
    </row>
    <row r="88" spans="2:26" x14ac:dyDescent="0.35">
      <c r="B88" s="24"/>
      <c r="C88" s="25"/>
      <c r="D88" s="25"/>
      <c r="E88" s="25"/>
      <c r="F88" s="25"/>
      <c r="G88" s="25"/>
      <c r="H88" s="25"/>
      <c r="I88" s="25"/>
      <c r="J88" s="25"/>
      <c r="K88" s="25"/>
      <c r="L88" s="25"/>
      <c r="M88" s="25"/>
      <c r="N88" s="25"/>
      <c r="O88" s="25"/>
      <c r="P88" s="25"/>
      <c r="Q88" s="25"/>
      <c r="R88" s="25"/>
      <c r="S88" s="25"/>
      <c r="T88" s="25"/>
      <c r="U88" s="25"/>
      <c r="V88" s="25"/>
      <c r="W88" s="25"/>
      <c r="X88" s="25"/>
      <c r="Y88" s="25"/>
      <c r="Z88" s="26"/>
    </row>
    <row r="89" spans="2:26" x14ac:dyDescent="0.35">
      <c r="B89" s="24"/>
      <c r="C89" s="25"/>
      <c r="D89" s="25"/>
      <c r="E89" s="25"/>
      <c r="F89" s="25"/>
      <c r="G89" s="25"/>
      <c r="H89" s="25"/>
      <c r="I89" s="25"/>
      <c r="J89" s="25"/>
      <c r="K89" s="25"/>
      <c r="L89" s="25"/>
      <c r="M89" s="25"/>
      <c r="N89" s="25"/>
      <c r="O89" s="25"/>
      <c r="P89" s="25"/>
      <c r="Q89" s="25"/>
      <c r="R89" s="25"/>
      <c r="S89" s="25"/>
      <c r="T89" s="25"/>
      <c r="U89" s="25"/>
      <c r="V89" s="25"/>
      <c r="W89" s="25"/>
      <c r="X89" s="25"/>
      <c r="Y89" s="25"/>
      <c r="Z89" s="26"/>
    </row>
    <row r="90" spans="2:26" x14ac:dyDescent="0.35">
      <c r="B90" s="24"/>
      <c r="C90" s="25"/>
      <c r="D90" s="25"/>
      <c r="E90" s="25"/>
      <c r="F90" s="25"/>
      <c r="G90" s="25"/>
      <c r="H90" s="25"/>
      <c r="I90" s="25"/>
      <c r="J90" s="25"/>
      <c r="K90" s="25"/>
      <c r="L90" s="25"/>
      <c r="M90" s="25"/>
      <c r="N90" s="25"/>
      <c r="O90" s="25"/>
      <c r="P90" s="25"/>
      <c r="Q90" s="25"/>
      <c r="R90" s="25"/>
      <c r="S90" s="25"/>
      <c r="T90" s="25"/>
      <c r="U90" s="25"/>
      <c r="V90" s="25"/>
      <c r="W90" s="25"/>
      <c r="X90" s="25"/>
      <c r="Y90" s="25"/>
      <c r="Z90" s="26"/>
    </row>
    <row r="91" spans="2:26" x14ac:dyDescent="0.35">
      <c r="B91" s="24"/>
      <c r="C91" s="25"/>
      <c r="D91" s="25"/>
      <c r="E91" s="25"/>
      <c r="F91" s="25"/>
      <c r="G91" s="25"/>
      <c r="H91" s="25"/>
      <c r="I91" s="25"/>
      <c r="J91" s="25"/>
      <c r="K91" s="25"/>
      <c r="L91" s="25"/>
      <c r="M91" s="25"/>
      <c r="N91" s="25"/>
      <c r="O91" s="25"/>
      <c r="P91" s="25"/>
      <c r="Q91" s="25"/>
      <c r="R91" s="25"/>
      <c r="S91" s="25"/>
      <c r="T91" s="25"/>
      <c r="U91" s="25"/>
      <c r="V91" s="25"/>
      <c r="W91" s="25"/>
      <c r="X91" s="25"/>
      <c r="Y91" s="25"/>
      <c r="Z91" s="26"/>
    </row>
    <row r="92" spans="2:26" x14ac:dyDescent="0.35">
      <c r="B92" s="27"/>
      <c r="C92" s="28"/>
      <c r="D92" s="28"/>
      <c r="E92" s="28"/>
      <c r="F92" s="28"/>
      <c r="G92" s="28"/>
      <c r="H92" s="28"/>
      <c r="I92" s="28"/>
      <c r="J92" s="28"/>
      <c r="K92" s="28"/>
      <c r="L92" s="28"/>
      <c r="M92" s="28"/>
      <c r="N92" s="28"/>
      <c r="O92" s="28"/>
      <c r="P92" s="28"/>
      <c r="Q92" s="28"/>
      <c r="R92" s="28"/>
      <c r="S92" s="28"/>
      <c r="T92" s="28"/>
      <c r="U92" s="28"/>
      <c r="V92" s="28"/>
      <c r="W92" s="28"/>
      <c r="X92" s="28"/>
      <c r="Y92" s="28"/>
      <c r="Z92" s="29"/>
    </row>
  </sheetData>
  <mergeCells count="8">
    <mergeCell ref="U7:X17"/>
    <mergeCell ref="V28:X37"/>
    <mergeCell ref="V50:X60"/>
    <mergeCell ref="E69:U69"/>
    <mergeCell ref="V73:X83"/>
    <mergeCell ref="E45:U45"/>
    <mergeCell ref="E3:V3"/>
    <mergeCell ref="E23:V23"/>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263C8-CB7B-4948-89D0-38261DFDF07D}">
  <dimension ref="B2:T151"/>
  <sheetViews>
    <sheetView showGridLines="0" zoomScale="70" zoomScaleNormal="70" workbookViewId="0"/>
  </sheetViews>
  <sheetFormatPr defaultRowHeight="14.5" x14ac:dyDescent="0.35"/>
  <cols>
    <col min="3" max="3" width="16.08984375" bestFit="1" customWidth="1"/>
    <col min="4" max="4" width="15.90625" bestFit="1" customWidth="1"/>
    <col min="5" max="5" width="9.54296875" bestFit="1" customWidth="1"/>
    <col min="6" max="7" width="10.54296875" bestFit="1" customWidth="1"/>
    <col min="8" max="8" width="10.7265625" bestFit="1" customWidth="1"/>
    <col min="9" max="9" width="10.54296875" bestFit="1" customWidth="1"/>
    <col min="10" max="10" width="10.7265625" bestFit="1" customWidth="1"/>
  </cols>
  <sheetData>
    <row r="2" spans="2:20" x14ac:dyDescent="0.35">
      <c r="B2" s="21"/>
      <c r="C2" s="22"/>
      <c r="D2" s="22"/>
      <c r="E2" s="22"/>
      <c r="F2" s="22"/>
      <c r="G2" s="22"/>
      <c r="H2" s="22"/>
      <c r="I2" s="22"/>
      <c r="J2" s="22"/>
      <c r="K2" s="22"/>
      <c r="L2" s="22"/>
      <c r="M2" s="22"/>
      <c r="N2" s="22"/>
      <c r="O2" s="22"/>
      <c r="P2" s="22"/>
      <c r="Q2" s="22"/>
      <c r="R2" s="22"/>
      <c r="S2" s="22"/>
      <c r="T2" s="23"/>
    </row>
    <row r="3" spans="2:20" x14ac:dyDescent="0.35">
      <c r="B3" s="24"/>
      <c r="C3" s="25"/>
      <c r="D3" s="25"/>
      <c r="E3" s="59" t="s">
        <v>162</v>
      </c>
      <c r="F3" s="60"/>
      <c r="G3" s="60"/>
      <c r="H3" s="60"/>
      <c r="I3" s="60"/>
      <c r="J3" s="60"/>
      <c r="K3" s="60"/>
      <c r="L3" s="60"/>
      <c r="M3" s="60"/>
      <c r="N3" s="60"/>
      <c r="O3" s="60"/>
      <c r="P3" s="61"/>
      <c r="Q3" s="25"/>
      <c r="R3" s="25"/>
      <c r="S3" s="25"/>
      <c r="T3" s="26"/>
    </row>
    <row r="4" spans="2:20" x14ac:dyDescent="0.35">
      <c r="B4" s="24"/>
      <c r="C4" s="25"/>
      <c r="D4" s="25"/>
      <c r="E4" s="25"/>
      <c r="F4" s="25"/>
      <c r="G4" s="25"/>
      <c r="H4" s="25"/>
      <c r="I4" s="25"/>
      <c r="J4" s="25"/>
      <c r="K4" s="25"/>
      <c r="L4" s="25"/>
      <c r="M4" s="25"/>
      <c r="N4" s="25"/>
      <c r="O4" s="25"/>
      <c r="P4" s="25"/>
      <c r="Q4" s="25"/>
      <c r="R4" s="25"/>
      <c r="S4" s="25"/>
      <c r="T4" s="26"/>
    </row>
    <row r="5" spans="2:20" x14ac:dyDescent="0.35">
      <c r="B5" s="24"/>
      <c r="C5" s="34" t="s">
        <v>146</v>
      </c>
      <c r="D5" s="34" t="s">
        <v>8</v>
      </c>
      <c r="E5" s="34"/>
      <c r="F5" s="34"/>
      <c r="G5" s="34"/>
      <c r="H5" s="34"/>
      <c r="I5" s="34"/>
      <c r="J5" s="34"/>
      <c r="K5" s="25"/>
      <c r="L5" s="25"/>
      <c r="M5" s="25"/>
      <c r="N5" s="25"/>
      <c r="O5" s="25"/>
      <c r="P5" s="25"/>
      <c r="Q5" s="25"/>
      <c r="R5" s="25"/>
      <c r="S5" s="25"/>
      <c r="T5" s="26"/>
    </row>
    <row r="6" spans="2:20" x14ac:dyDescent="0.35">
      <c r="B6" s="24"/>
      <c r="C6" s="34" t="s">
        <v>149</v>
      </c>
      <c r="D6" s="34" t="s">
        <v>17</v>
      </c>
      <c r="E6" s="34" t="s">
        <v>22</v>
      </c>
      <c r="F6" s="34" t="s">
        <v>18</v>
      </c>
      <c r="G6" s="34" t="s">
        <v>20</v>
      </c>
      <c r="H6" s="34" t="s">
        <v>21</v>
      </c>
      <c r="I6" s="34" t="s">
        <v>19</v>
      </c>
      <c r="J6" s="34" t="s">
        <v>132</v>
      </c>
      <c r="K6" s="25"/>
      <c r="L6" s="25"/>
      <c r="M6" s="25"/>
      <c r="N6" s="25"/>
      <c r="O6" s="25"/>
      <c r="P6" s="25"/>
      <c r="Q6" s="25"/>
      <c r="R6" s="25"/>
      <c r="S6" s="25"/>
      <c r="T6" s="26"/>
    </row>
    <row r="7" spans="2:20" x14ac:dyDescent="0.35">
      <c r="B7" s="24"/>
      <c r="C7" s="31" t="s">
        <v>133</v>
      </c>
      <c r="D7" s="32">
        <v>110012.5</v>
      </c>
      <c r="E7" s="32">
        <v>93662.5</v>
      </c>
      <c r="F7" s="32">
        <v>94112.5</v>
      </c>
      <c r="G7" s="32">
        <v>58700</v>
      </c>
      <c r="H7" s="32">
        <v>77350</v>
      </c>
      <c r="I7" s="32">
        <v>76912.5</v>
      </c>
      <c r="J7" s="32">
        <v>510750</v>
      </c>
      <c r="K7" s="25"/>
      <c r="L7" s="25"/>
      <c r="M7" s="25"/>
      <c r="N7" s="25"/>
      <c r="O7" s="25"/>
      <c r="P7" s="25"/>
      <c r="Q7" s="25"/>
      <c r="R7" s="25"/>
      <c r="S7" s="25"/>
      <c r="T7" s="26"/>
    </row>
    <row r="8" spans="2:20" x14ac:dyDescent="0.35">
      <c r="B8" s="24"/>
      <c r="C8" s="31" t="s">
        <v>134</v>
      </c>
      <c r="D8" s="32">
        <v>121250</v>
      </c>
      <c r="E8" s="32">
        <v>84950</v>
      </c>
      <c r="F8" s="32">
        <v>80150</v>
      </c>
      <c r="G8" s="32">
        <v>53875</v>
      </c>
      <c r="H8" s="32">
        <v>73137.5</v>
      </c>
      <c r="I8" s="32">
        <v>71612.5</v>
      </c>
      <c r="J8" s="32">
        <v>484975</v>
      </c>
      <c r="K8" s="25"/>
      <c r="L8" s="25"/>
      <c r="M8" s="25"/>
      <c r="N8" s="25"/>
      <c r="O8" s="25"/>
      <c r="P8" s="25"/>
      <c r="Q8" s="25"/>
      <c r="R8" s="25"/>
      <c r="S8" s="25"/>
      <c r="T8" s="26"/>
    </row>
    <row r="9" spans="2:20" x14ac:dyDescent="0.35">
      <c r="B9" s="24"/>
      <c r="C9" s="31" t="s">
        <v>135</v>
      </c>
      <c r="D9" s="32">
        <v>123667.5</v>
      </c>
      <c r="E9" s="32">
        <v>82525</v>
      </c>
      <c r="F9" s="32">
        <v>85575</v>
      </c>
      <c r="G9" s="32">
        <v>55062.5</v>
      </c>
      <c r="H9" s="32">
        <v>63075</v>
      </c>
      <c r="I9" s="32">
        <v>73625</v>
      </c>
      <c r="J9" s="32">
        <v>483530</v>
      </c>
      <c r="K9" s="25"/>
      <c r="L9" s="25"/>
      <c r="M9" s="25"/>
      <c r="N9" s="25"/>
      <c r="O9" s="25"/>
      <c r="P9" s="25"/>
      <c r="Q9" s="25"/>
      <c r="R9" s="25"/>
      <c r="S9" s="25"/>
      <c r="T9" s="26"/>
    </row>
    <row r="10" spans="2:20" x14ac:dyDescent="0.35">
      <c r="B10" s="24"/>
      <c r="C10" s="31" t="s">
        <v>136</v>
      </c>
      <c r="D10" s="32">
        <v>128250</v>
      </c>
      <c r="E10" s="32">
        <v>99987.5</v>
      </c>
      <c r="F10" s="32">
        <v>79112.5</v>
      </c>
      <c r="G10" s="32">
        <v>53962.5</v>
      </c>
      <c r="H10" s="32">
        <v>64225</v>
      </c>
      <c r="I10" s="32">
        <v>69350</v>
      </c>
      <c r="J10" s="32">
        <v>494887.5</v>
      </c>
      <c r="K10" s="25"/>
      <c r="L10" s="25"/>
      <c r="M10" s="25"/>
      <c r="N10" s="25"/>
      <c r="O10" s="25"/>
      <c r="P10" s="25"/>
      <c r="Q10" s="25"/>
      <c r="R10" s="25"/>
      <c r="S10" s="25"/>
      <c r="T10" s="26"/>
    </row>
    <row r="11" spans="2:20" x14ac:dyDescent="0.35">
      <c r="B11" s="24"/>
      <c r="C11" s="31" t="s">
        <v>137</v>
      </c>
      <c r="D11" s="32">
        <v>166372.5</v>
      </c>
      <c r="E11" s="32">
        <v>150300</v>
      </c>
      <c r="F11" s="32">
        <v>103350</v>
      </c>
      <c r="G11" s="32">
        <v>76162.5</v>
      </c>
      <c r="H11" s="32">
        <v>85087.5</v>
      </c>
      <c r="I11" s="32">
        <v>92300</v>
      </c>
      <c r="J11" s="32">
        <v>673572.5</v>
      </c>
      <c r="K11" s="25"/>
      <c r="L11" s="25"/>
      <c r="M11" s="25"/>
      <c r="N11" s="25"/>
      <c r="O11" s="25"/>
      <c r="P11" s="25"/>
      <c r="Q11" s="25"/>
      <c r="R11" s="25"/>
      <c r="S11" s="25"/>
      <c r="T11" s="26"/>
    </row>
    <row r="12" spans="2:20" x14ac:dyDescent="0.35">
      <c r="B12" s="24"/>
      <c r="C12" s="31" t="s">
        <v>138</v>
      </c>
      <c r="D12" s="32">
        <v>193825</v>
      </c>
      <c r="E12" s="32">
        <v>213387.5</v>
      </c>
      <c r="F12" s="32">
        <v>140500</v>
      </c>
      <c r="G12" s="32">
        <v>110500</v>
      </c>
      <c r="H12" s="32">
        <v>116975</v>
      </c>
      <c r="I12" s="32">
        <v>128650</v>
      </c>
      <c r="J12" s="32">
        <v>903837.5</v>
      </c>
      <c r="K12" s="25"/>
      <c r="L12" s="25"/>
      <c r="M12" s="25"/>
      <c r="N12" s="25"/>
      <c r="O12" s="25"/>
      <c r="P12" s="25"/>
      <c r="Q12" s="25"/>
      <c r="R12" s="25"/>
      <c r="S12" s="25"/>
      <c r="T12" s="26"/>
    </row>
    <row r="13" spans="2:20" x14ac:dyDescent="0.35">
      <c r="B13" s="24"/>
      <c r="C13" s="31" t="s">
        <v>139</v>
      </c>
      <c r="D13" s="32">
        <v>237587.5</v>
      </c>
      <c r="E13" s="32">
        <v>212825</v>
      </c>
      <c r="F13" s="32">
        <v>174187.5</v>
      </c>
      <c r="G13" s="32">
        <v>119837.5</v>
      </c>
      <c r="H13" s="32">
        <v>146750</v>
      </c>
      <c r="I13" s="32">
        <v>150250</v>
      </c>
      <c r="J13" s="32">
        <v>1041437.5</v>
      </c>
      <c r="K13" s="25"/>
      <c r="L13" s="25"/>
      <c r="M13" s="25"/>
      <c r="N13" s="25"/>
      <c r="O13" s="25"/>
      <c r="P13" s="25"/>
      <c r="Q13" s="25"/>
      <c r="R13" s="25"/>
      <c r="S13" s="25"/>
      <c r="T13" s="26"/>
    </row>
    <row r="14" spans="2:20" x14ac:dyDescent="0.35">
      <c r="B14" s="24"/>
      <c r="C14" s="31" t="s">
        <v>140</v>
      </c>
      <c r="D14" s="32">
        <v>232600</v>
      </c>
      <c r="E14" s="32">
        <v>161062.5</v>
      </c>
      <c r="F14" s="32">
        <v>179900</v>
      </c>
      <c r="G14" s="32">
        <v>107462.5</v>
      </c>
      <c r="H14" s="32">
        <v>119500</v>
      </c>
      <c r="I14" s="32">
        <v>144750</v>
      </c>
      <c r="J14" s="32">
        <v>945275</v>
      </c>
      <c r="K14" s="25"/>
      <c r="L14" s="25"/>
      <c r="M14" s="25"/>
      <c r="N14" s="25"/>
      <c r="O14" s="25"/>
      <c r="P14" s="25"/>
      <c r="Q14" s="25"/>
      <c r="R14" s="25"/>
      <c r="S14" s="25"/>
      <c r="T14" s="26"/>
    </row>
    <row r="15" spans="2:20" x14ac:dyDescent="0.35">
      <c r="B15" s="24"/>
      <c r="C15" s="31" t="s">
        <v>141</v>
      </c>
      <c r="D15" s="32">
        <v>170737.5</v>
      </c>
      <c r="E15" s="32">
        <v>119562.5</v>
      </c>
      <c r="F15" s="32">
        <v>131187.5</v>
      </c>
      <c r="G15" s="32">
        <v>76762.5</v>
      </c>
      <c r="H15" s="32">
        <v>91400</v>
      </c>
      <c r="I15" s="32">
        <v>91350</v>
      </c>
      <c r="J15" s="32">
        <v>681000</v>
      </c>
      <c r="K15" s="25"/>
      <c r="L15" s="25"/>
      <c r="M15" s="25"/>
      <c r="N15" s="25"/>
      <c r="O15" s="25"/>
      <c r="P15" s="25"/>
      <c r="Q15" s="25"/>
      <c r="R15" s="25"/>
      <c r="S15" s="25"/>
      <c r="T15" s="26"/>
    </row>
    <row r="16" spans="2:20" x14ac:dyDescent="0.35">
      <c r="B16" s="24"/>
      <c r="C16" s="31" t="s">
        <v>142</v>
      </c>
      <c r="D16" s="32">
        <v>146575</v>
      </c>
      <c r="E16" s="32">
        <v>125087.5</v>
      </c>
      <c r="F16" s="32">
        <v>113700</v>
      </c>
      <c r="G16" s="32">
        <v>72837.5</v>
      </c>
      <c r="H16" s="32">
        <v>83025</v>
      </c>
      <c r="I16" s="32">
        <v>82150</v>
      </c>
      <c r="J16" s="32">
        <v>623375</v>
      </c>
      <c r="K16" s="25"/>
      <c r="L16" s="25"/>
      <c r="M16" s="25"/>
      <c r="N16" s="25"/>
      <c r="O16" s="25"/>
      <c r="P16" s="25"/>
      <c r="Q16" s="25"/>
      <c r="R16" s="25"/>
      <c r="S16" s="25"/>
      <c r="T16" s="26"/>
    </row>
    <row r="17" spans="2:20" x14ac:dyDescent="0.35">
      <c r="B17" s="24"/>
      <c r="C17" s="31" t="s">
        <v>143</v>
      </c>
      <c r="D17" s="32">
        <v>150787.5</v>
      </c>
      <c r="E17" s="32">
        <v>181900</v>
      </c>
      <c r="F17" s="32">
        <v>118612.5</v>
      </c>
      <c r="G17" s="32">
        <v>111125</v>
      </c>
      <c r="H17" s="32">
        <v>127850</v>
      </c>
      <c r="I17" s="32">
        <v>105337.5</v>
      </c>
      <c r="J17" s="32">
        <v>795612.5</v>
      </c>
      <c r="K17" s="25"/>
      <c r="L17" s="25"/>
      <c r="M17" s="25"/>
      <c r="N17" s="25"/>
      <c r="O17" s="25"/>
      <c r="P17" s="25"/>
      <c r="Q17" s="25"/>
      <c r="R17" s="25"/>
      <c r="S17" s="25"/>
      <c r="T17" s="26"/>
    </row>
    <row r="18" spans="2:20" x14ac:dyDescent="0.35">
      <c r="B18" s="24"/>
      <c r="C18" s="31" t="s">
        <v>144</v>
      </c>
      <c r="D18" s="32">
        <v>234225</v>
      </c>
      <c r="E18" s="32">
        <v>200587.5</v>
      </c>
      <c r="F18" s="32">
        <v>181037.5</v>
      </c>
      <c r="G18" s="32">
        <v>135362.5</v>
      </c>
      <c r="H18" s="32">
        <v>145262.5</v>
      </c>
      <c r="I18" s="32">
        <v>149300</v>
      </c>
      <c r="J18" s="32">
        <v>1045775</v>
      </c>
      <c r="K18" s="25"/>
      <c r="L18" s="25"/>
      <c r="M18" s="25"/>
      <c r="N18" s="25"/>
      <c r="O18" s="25"/>
      <c r="P18" s="25"/>
      <c r="Q18" s="25"/>
      <c r="R18" s="25"/>
      <c r="S18" s="25"/>
      <c r="T18" s="26"/>
    </row>
    <row r="19" spans="2:20" x14ac:dyDescent="0.35">
      <c r="B19" s="24"/>
      <c r="C19" s="35" t="s">
        <v>132</v>
      </c>
      <c r="D19" s="36">
        <v>2015890</v>
      </c>
      <c r="E19" s="36">
        <v>1725837.5</v>
      </c>
      <c r="F19" s="36">
        <v>1481425</v>
      </c>
      <c r="G19" s="36">
        <v>1031650</v>
      </c>
      <c r="H19" s="36">
        <v>1193637.5</v>
      </c>
      <c r="I19" s="36">
        <v>1235587.5</v>
      </c>
      <c r="J19" s="36">
        <v>8684027.5</v>
      </c>
      <c r="K19" s="25"/>
      <c r="L19" s="25"/>
      <c r="M19" s="25"/>
      <c r="N19" s="25"/>
      <c r="O19" s="25"/>
      <c r="P19" s="25"/>
      <c r="Q19" s="25"/>
      <c r="R19" s="25"/>
      <c r="S19" s="25"/>
      <c r="T19" s="26"/>
    </row>
    <row r="20" spans="2:20" x14ac:dyDescent="0.35">
      <c r="B20" s="24"/>
      <c r="C20" s="25"/>
      <c r="D20" s="25"/>
      <c r="E20" s="25"/>
      <c r="F20" s="25"/>
      <c r="G20" s="25"/>
      <c r="H20" s="25"/>
      <c r="I20" s="25"/>
      <c r="J20" s="25"/>
      <c r="K20" s="25"/>
      <c r="L20" s="25"/>
      <c r="M20" s="25"/>
      <c r="N20" s="25"/>
      <c r="O20" s="25"/>
      <c r="P20" s="25"/>
      <c r="Q20" s="25"/>
      <c r="R20" s="25"/>
      <c r="S20" s="25"/>
      <c r="T20" s="26"/>
    </row>
    <row r="21" spans="2:20" x14ac:dyDescent="0.35">
      <c r="B21" s="24"/>
      <c r="C21" s="25"/>
      <c r="D21" s="25"/>
      <c r="E21" s="25"/>
      <c r="F21" s="25"/>
      <c r="G21" s="25"/>
      <c r="H21" s="25"/>
      <c r="I21" s="25"/>
      <c r="J21" s="25"/>
      <c r="K21" s="25"/>
      <c r="L21" s="25"/>
      <c r="M21" s="25"/>
      <c r="N21" s="25"/>
      <c r="O21" s="25"/>
      <c r="P21" s="25"/>
      <c r="Q21" s="25"/>
      <c r="R21" s="25"/>
      <c r="S21" s="25"/>
      <c r="T21" s="26"/>
    </row>
    <row r="22" spans="2:20" x14ac:dyDescent="0.35">
      <c r="B22" s="24"/>
      <c r="C22" s="25"/>
      <c r="D22" s="25"/>
      <c r="E22" s="66" t="s">
        <v>157</v>
      </c>
      <c r="F22" s="78"/>
      <c r="G22" s="78"/>
      <c r="H22" s="78"/>
      <c r="I22" s="78"/>
      <c r="J22" s="78"/>
      <c r="K22" s="78"/>
      <c r="L22" s="78"/>
      <c r="M22" s="78"/>
      <c r="N22" s="78"/>
      <c r="O22" s="78"/>
      <c r="P22" s="79"/>
      <c r="Q22" s="25"/>
      <c r="R22" s="25"/>
      <c r="S22" s="25"/>
      <c r="T22" s="26"/>
    </row>
    <row r="23" spans="2:20" x14ac:dyDescent="0.35">
      <c r="B23" s="24"/>
      <c r="C23" s="25"/>
      <c r="D23" s="25"/>
      <c r="E23" s="80"/>
      <c r="F23" s="75"/>
      <c r="G23" s="75"/>
      <c r="H23" s="75"/>
      <c r="I23" s="75"/>
      <c r="J23" s="75"/>
      <c r="K23" s="75"/>
      <c r="L23" s="75"/>
      <c r="M23" s="75"/>
      <c r="N23" s="75"/>
      <c r="O23" s="75"/>
      <c r="P23" s="81"/>
      <c r="Q23" s="25"/>
      <c r="R23" s="25"/>
      <c r="S23" s="25"/>
      <c r="T23" s="26"/>
    </row>
    <row r="24" spans="2:20" x14ac:dyDescent="0.35">
      <c r="B24" s="24"/>
      <c r="C24" s="25"/>
      <c r="D24" s="25"/>
      <c r="E24" s="80"/>
      <c r="F24" s="75"/>
      <c r="G24" s="75"/>
      <c r="H24" s="75"/>
      <c r="I24" s="75"/>
      <c r="J24" s="75"/>
      <c r="K24" s="75"/>
      <c r="L24" s="75"/>
      <c r="M24" s="75"/>
      <c r="N24" s="75"/>
      <c r="O24" s="75"/>
      <c r="P24" s="81"/>
      <c r="Q24" s="25"/>
      <c r="R24" s="25"/>
      <c r="S24" s="25"/>
      <c r="T24" s="26"/>
    </row>
    <row r="25" spans="2:20" x14ac:dyDescent="0.35">
      <c r="B25" s="24"/>
      <c r="C25" s="25"/>
      <c r="D25" s="25"/>
      <c r="E25" s="80"/>
      <c r="F25" s="75"/>
      <c r="G25" s="75"/>
      <c r="H25" s="75"/>
      <c r="I25" s="75"/>
      <c r="J25" s="75"/>
      <c r="K25" s="75"/>
      <c r="L25" s="75"/>
      <c r="M25" s="75"/>
      <c r="N25" s="75"/>
      <c r="O25" s="75"/>
      <c r="P25" s="81"/>
      <c r="Q25" s="25"/>
      <c r="R25" s="25"/>
      <c r="S25" s="25"/>
      <c r="T25" s="26"/>
    </row>
    <row r="26" spans="2:20" x14ac:dyDescent="0.35">
      <c r="B26" s="24"/>
      <c r="C26" s="25"/>
      <c r="D26" s="25"/>
      <c r="E26" s="80"/>
      <c r="F26" s="75"/>
      <c r="G26" s="75"/>
      <c r="H26" s="75"/>
      <c r="I26" s="75"/>
      <c r="J26" s="75"/>
      <c r="K26" s="75"/>
      <c r="L26" s="75"/>
      <c r="M26" s="75"/>
      <c r="N26" s="75"/>
      <c r="O26" s="75"/>
      <c r="P26" s="81"/>
      <c r="Q26" s="25"/>
      <c r="R26" s="25"/>
      <c r="S26" s="25"/>
      <c r="T26" s="26"/>
    </row>
    <row r="27" spans="2:20" x14ac:dyDescent="0.35">
      <c r="B27" s="24"/>
      <c r="C27" s="25"/>
      <c r="D27" s="25"/>
      <c r="E27" s="80"/>
      <c r="F27" s="75"/>
      <c r="G27" s="75"/>
      <c r="H27" s="75"/>
      <c r="I27" s="75"/>
      <c r="J27" s="75"/>
      <c r="K27" s="75"/>
      <c r="L27" s="75"/>
      <c r="M27" s="75"/>
      <c r="N27" s="75"/>
      <c r="O27" s="75"/>
      <c r="P27" s="81"/>
      <c r="Q27" s="25"/>
      <c r="R27" s="25"/>
      <c r="S27" s="25"/>
      <c r="T27" s="26"/>
    </row>
    <row r="28" spans="2:20" x14ac:dyDescent="0.35">
      <c r="B28" s="24"/>
      <c r="C28" s="25"/>
      <c r="D28" s="25"/>
      <c r="E28" s="80"/>
      <c r="F28" s="75"/>
      <c r="G28" s="75"/>
      <c r="H28" s="75"/>
      <c r="I28" s="75"/>
      <c r="J28" s="75"/>
      <c r="K28" s="75"/>
      <c r="L28" s="75"/>
      <c r="M28" s="75"/>
      <c r="N28" s="75"/>
      <c r="O28" s="75"/>
      <c r="P28" s="81"/>
      <c r="Q28" s="25"/>
      <c r="R28" s="25"/>
      <c r="S28" s="25"/>
      <c r="T28" s="26"/>
    </row>
    <row r="29" spans="2:20" x14ac:dyDescent="0.35">
      <c r="B29" s="24"/>
      <c r="C29" s="25"/>
      <c r="D29" s="25"/>
      <c r="E29" s="82"/>
      <c r="F29" s="83"/>
      <c r="G29" s="83"/>
      <c r="H29" s="83"/>
      <c r="I29" s="83"/>
      <c r="J29" s="83"/>
      <c r="K29" s="83"/>
      <c r="L29" s="83"/>
      <c r="M29" s="83"/>
      <c r="N29" s="83"/>
      <c r="O29" s="83"/>
      <c r="P29" s="84"/>
      <c r="Q29" s="25"/>
      <c r="R29" s="25"/>
      <c r="S29" s="25"/>
      <c r="T29" s="26"/>
    </row>
    <row r="30" spans="2:20" x14ac:dyDescent="0.35">
      <c r="B30" s="27"/>
      <c r="C30" s="28"/>
      <c r="D30" s="28"/>
      <c r="E30" s="28"/>
      <c r="F30" s="28"/>
      <c r="G30" s="28"/>
      <c r="H30" s="28"/>
      <c r="I30" s="28"/>
      <c r="J30" s="28"/>
      <c r="K30" s="28"/>
      <c r="L30" s="28"/>
      <c r="M30" s="28"/>
      <c r="N30" s="28"/>
      <c r="O30" s="28"/>
      <c r="P30" s="28"/>
      <c r="Q30" s="28"/>
      <c r="R30" s="28"/>
      <c r="S30" s="28"/>
      <c r="T30" s="29"/>
    </row>
    <row r="32" spans="2:20" x14ac:dyDescent="0.35">
      <c r="B32" s="21"/>
      <c r="C32" s="22"/>
      <c r="D32" s="22"/>
      <c r="E32" s="22"/>
      <c r="F32" s="22"/>
      <c r="G32" s="22"/>
      <c r="H32" s="22"/>
      <c r="I32" s="22"/>
      <c r="J32" s="22"/>
      <c r="K32" s="22"/>
      <c r="L32" s="22"/>
      <c r="M32" s="22"/>
      <c r="N32" s="22"/>
      <c r="O32" s="22"/>
      <c r="P32" s="22"/>
      <c r="Q32" s="22"/>
      <c r="R32" s="22"/>
      <c r="S32" s="22"/>
      <c r="T32" s="23"/>
    </row>
    <row r="33" spans="2:20" x14ac:dyDescent="0.35">
      <c r="B33" s="24"/>
      <c r="C33" s="25"/>
      <c r="D33" s="25"/>
      <c r="E33" s="59" t="s">
        <v>159</v>
      </c>
      <c r="F33" s="60"/>
      <c r="G33" s="60"/>
      <c r="H33" s="60"/>
      <c r="I33" s="60"/>
      <c r="J33" s="60"/>
      <c r="K33" s="60"/>
      <c r="L33" s="60"/>
      <c r="M33" s="60"/>
      <c r="N33" s="60"/>
      <c r="O33" s="60"/>
      <c r="P33" s="61"/>
      <c r="Q33" s="25"/>
      <c r="R33" s="25"/>
      <c r="S33" s="25"/>
      <c r="T33" s="26"/>
    </row>
    <row r="34" spans="2:20" x14ac:dyDescent="0.35">
      <c r="B34" s="24"/>
      <c r="C34" s="25"/>
      <c r="D34" s="25"/>
      <c r="E34" s="25"/>
      <c r="F34" s="25"/>
      <c r="G34" s="25"/>
      <c r="H34" s="25"/>
      <c r="I34" s="25"/>
      <c r="J34" s="25"/>
      <c r="K34" s="25"/>
      <c r="L34" s="25"/>
      <c r="M34" s="25"/>
      <c r="N34" s="25"/>
      <c r="O34" s="25"/>
      <c r="P34" s="25"/>
      <c r="Q34" s="25"/>
      <c r="R34" s="25"/>
      <c r="S34" s="25"/>
      <c r="T34" s="26"/>
    </row>
    <row r="35" spans="2:20" x14ac:dyDescent="0.35">
      <c r="B35" s="24"/>
      <c r="C35" s="34" t="s">
        <v>146</v>
      </c>
      <c r="D35" s="34" t="s">
        <v>5</v>
      </c>
      <c r="E35" s="34"/>
      <c r="F35" s="34"/>
      <c r="G35" s="34"/>
      <c r="H35" s="34"/>
      <c r="I35" s="34"/>
      <c r="J35" s="25"/>
      <c r="K35" s="25"/>
      <c r="L35" s="25"/>
      <c r="M35" s="25"/>
      <c r="N35" s="25"/>
      <c r="O35" s="25"/>
      <c r="P35" s="25"/>
      <c r="Q35" s="25"/>
      <c r="R35" s="25"/>
      <c r="S35" s="25"/>
      <c r="T35" s="26"/>
    </row>
    <row r="36" spans="2:20" x14ac:dyDescent="0.35">
      <c r="B36" s="24"/>
      <c r="C36" s="34" t="s">
        <v>149</v>
      </c>
      <c r="D36" s="34" t="s">
        <v>33</v>
      </c>
      <c r="E36" s="34" t="s">
        <v>15</v>
      </c>
      <c r="F36" s="34" t="s">
        <v>24</v>
      </c>
      <c r="G36" s="34" t="s">
        <v>46</v>
      </c>
      <c r="H36" s="34" t="s">
        <v>28</v>
      </c>
      <c r="I36" s="34" t="s">
        <v>132</v>
      </c>
      <c r="J36" s="25"/>
      <c r="K36" s="25"/>
      <c r="L36" s="25"/>
      <c r="M36" s="25"/>
      <c r="N36" s="25"/>
      <c r="O36" s="25"/>
      <c r="P36" s="25"/>
      <c r="Q36" s="25"/>
      <c r="R36" s="25"/>
      <c r="S36" s="25"/>
      <c r="T36" s="26"/>
    </row>
    <row r="37" spans="2:20" x14ac:dyDescent="0.35">
      <c r="B37" s="24"/>
      <c r="C37" s="31" t="s">
        <v>133</v>
      </c>
      <c r="D37" s="32">
        <v>80087.5</v>
      </c>
      <c r="E37" s="32">
        <v>115737.5</v>
      </c>
      <c r="F37" s="32">
        <v>70662.5</v>
      </c>
      <c r="G37" s="32">
        <v>104750</v>
      </c>
      <c r="H37" s="32">
        <v>139512.5</v>
      </c>
      <c r="I37" s="32">
        <v>510750</v>
      </c>
      <c r="J37" s="25"/>
      <c r="K37" s="25"/>
      <c r="L37" s="25"/>
      <c r="M37" s="25"/>
      <c r="N37" s="25"/>
      <c r="O37" s="25"/>
      <c r="P37" s="25"/>
      <c r="Q37" s="25"/>
      <c r="R37" s="25"/>
      <c r="S37" s="25"/>
      <c r="T37" s="26"/>
    </row>
    <row r="38" spans="2:20" x14ac:dyDescent="0.35">
      <c r="B38" s="24"/>
      <c r="C38" s="31" t="s">
        <v>134</v>
      </c>
      <c r="D38" s="32">
        <v>73762.5</v>
      </c>
      <c r="E38" s="32">
        <v>112650</v>
      </c>
      <c r="F38" s="32">
        <v>66475</v>
      </c>
      <c r="G38" s="32">
        <v>99500</v>
      </c>
      <c r="H38" s="32">
        <v>132587.5</v>
      </c>
      <c r="I38" s="32">
        <v>484975</v>
      </c>
      <c r="J38" s="25"/>
      <c r="K38" s="25"/>
      <c r="L38" s="25"/>
      <c r="M38" s="25"/>
      <c r="N38" s="25"/>
      <c r="O38" s="25"/>
      <c r="P38" s="25"/>
      <c r="Q38" s="25"/>
      <c r="R38" s="25"/>
      <c r="S38" s="25"/>
      <c r="T38" s="26"/>
    </row>
    <row r="39" spans="2:20" x14ac:dyDescent="0.35">
      <c r="B39" s="24"/>
      <c r="C39" s="31" t="s">
        <v>135</v>
      </c>
      <c r="D39" s="32">
        <v>68072.5</v>
      </c>
      <c r="E39" s="32">
        <v>104985</v>
      </c>
      <c r="F39" s="32">
        <v>65845</v>
      </c>
      <c r="G39" s="32">
        <v>86102.5</v>
      </c>
      <c r="H39" s="32">
        <v>158525</v>
      </c>
      <c r="I39" s="32">
        <v>483530</v>
      </c>
      <c r="J39" s="25"/>
      <c r="K39" s="25"/>
      <c r="L39" s="25"/>
      <c r="M39" s="25"/>
      <c r="N39" s="25"/>
      <c r="O39" s="25"/>
      <c r="P39" s="25"/>
      <c r="Q39" s="25"/>
      <c r="R39" s="25"/>
      <c r="S39" s="25"/>
      <c r="T39" s="26"/>
    </row>
    <row r="40" spans="2:20" x14ac:dyDescent="0.35">
      <c r="B40" s="24"/>
      <c r="C40" s="31" t="s">
        <v>136</v>
      </c>
      <c r="D40" s="32">
        <v>65762.5</v>
      </c>
      <c r="E40" s="32">
        <v>101175</v>
      </c>
      <c r="F40" s="32">
        <v>60662.5</v>
      </c>
      <c r="G40" s="32">
        <v>88525</v>
      </c>
      <c r="H40" s="32">
        <v>178762.5</v>
      </c>
      <c r="I40" s="32">
        <v>494887.5</v>
      </c>
      <c r="J40" s="25"/>
      <c r="K40" s="25"/>
      <c r="L40" s="25"/>
      <c r="M40" s="25"/>
      <c r="N40" s="25"/>
      <c r="O40" s="25"/>
      <c r="P40" s="25"/>
      <c r="Q40" s="25"/>
      <c r="R40" s="25"/>
      <c r="S40" s="25"/>
      <c r="T40" s="26"/>
    </row>
    <row r="41" spans="2:20" x14ac:dyDescent="0.35">
      <c r="B41" s="24"/>
      <c r="C41" s="31" t="s">
        <v>137</v>
      </c>
      <c r="D41" s="32">
        <v>97392.5</v>
      </c>
      <c r="E41" s="32">
        <v>154247.5</v>
      </c>
      <c r="F41" s="32">
        <v>89965</v>
      </c>
      <c r="G41" s="32">
        <v>133555</v>
      </c>
      <c r="H41" s="32">
        <v>198412.5</v>
      </c>
      <c r="I41" s="32">
        <v>673572.5</v>
      </c>
      <c r="J41" s="25"/>
      <c r="K41" s="25"/>
      <c r="L41" s="25"/>
      <c r="M41" s="25"/>
      <c r="N41" s="25"/>
      <c r="O41" s="25"/>
      <c r="P41" s="25"/>
      <c r="Q41" s="25"/>
      <c r="R41" s="25"/>
      <c r="S41" s="25"/>
      <c r="T41" s="26"/>
    </row>
    <row r="42" spans="2:20" x14ac:dyDescent="0.35">
      <c r="B42" s="24"/>
      <c r="C42" s="31" t="s">
        <v>138</v>
      </c>
      <c r="D42" s="32">
        <v>101637.5</v>
      </c>
      <c r="E42" s="32">
        <v>176437.5</v>
      </c>
      <c r="F42" s="32">
        <v>134537.5</v>
      </c>
      <c r="G42" s="32">
        <v>162687.5</v>
      </c>
      <c r="H42" s="32">
        <v>328537.5</v>
      </c>
      <c r="I42" s="32">
        <v>903837.5</v>
      </c>
      <c r="J42" s="25"/>
      <c r="K42" s="25"/>
      <c r="L42" s="25"/>
      <c r="M42" s="25"/>
      <c r="N42" s="25"/>
      <c r="O42" s="25"/>
      <c r="P42" s="25"/>
      <c r="Q42" s="25"/>
      <c r="R42" s="25"/>
      <c r="S42" s="25"/>
      <c r="T42" s="26"/>
    </row>
    <row r="43" spans="2:20" x14ac:dyDescent="0.35">
      <c r="B43" s="24"/>
      <c r="C43" s="31" t="s">
        <v>139</v>
      </c>
      <c r="D43" s="32">
        <v>131387.5</v>
      </c>
      <c r="E43" s="32">
        <v>187900</v>
      </c>
      <c r="F43" s="32">
        <v>157912.5</v>
      </c>
      <c r="G43" s="32">
        <v>191425</v>
      </c>
      <c r="H43" s="32">
        <v>372812.5</v>
      </c>
      <c r="I43" s="32">
        <v>1041437.5</v>
      </c>
      <c r="J43" s="25"/>
      <c r="K43" s="25"/>
      <c r="L43" s="25"/>
      <c r="M43" s="25"/>
      <c r="N43" s="25"/>
      <c r="O43" s="25"/>
      <c r="P43" s="25"/>
      <c r="Q43" s="25"/>
      <c r="R43" s="25"/>
      <c r="S43" s="25"/>
      <c r="T43" s="26"/>
    </row>
    <row r="44" spans="2:20" x14ac:dyDescent="0.35">
      <c r="B44" s="24"/>
      <c r="C44" s="31" t="s">
        <v>140</v>
      </c>
      <c r="D44" s="32">
        <v>120312.5</v>
      </c>
      <c r="E44" s="32">
        <v>173362.5</v>
      </c>
      <c r="F44" s="32">
        <v>152275</v>
      </c>
      <c r="G44" s="32">
        <v>170700</v>
      </c>
      <c r="H44" s="32">
        <v>328625</v>
      </c>
      <c r="I44" s="32">
        <v>945275</v>
      </c>
      <c r="J44" s="25"/>
      <c r="K44" s="25"/>
      <c r="L44" s="25"/>
      <c r="M44" s="25"/>
      <c r="N44" s="25"/>
      <c r="O44" s="25"/>
      <c r="P44" s="25"/>
      <c r="Q44" s="25"/>
      <c r="R44" s="25"/>
      <c r="S44" s="25"/>
      <c r="T44" s="26"/>
    </row>
    <row r="45" spans="2:20" x14ac:dyDescent="0.35">
      <c r="B45" s="24"/>
      <c r="C45" s="31" t="s">
        <v>141</v>
      </c>
      <c r="D45" s="32">
        <v>81087.5</v>
      </c>
      <c r="E45" s="32">
        <v>142037.5</v>
      </c>
      <c r="F45" s="32">
        <v>117225</v>
      </c>
      <c r="G45" s="32">
        <v>124537.5</v>
      </c>
      <c r="H45" s="32">
        <v>216112.5</v>
      </c>
      <c r="I45" s="32">
        <v>681000</v>
      </c>
      <c r="J45" s="25"/>
      <c r="K45" s="25"/>
      <c r="L45" s="25"/>
      <c r="M45" s="25"/>
      <c r="N45" s="25"/>
      <c r="O45" s="25"/>
      <c r="P45" s="25"/>
      <c r="Q45" s="25"/>
      <c r="R45" s="25"/>
      <c r="S45" s="25"/>
      <c r="T45" s="26"/>
    </row>
    <row r="46" spans="2:20" x14ac:dyDescent="0.35">
      <c r="B46" s="24"/>
      <c r="C46" s="31" t="s">
        <v>142</v>
      </c>
      <c r="D46" s="32">
        <v>82800</v>
      </c>
      <c r="E46" s="32">
        <v>143887.5</v>
      </c>
      <c r="F46" s="32">
        <v>81687.5</v>
      </c>
      <c r="G46" s="32">
        <v>119525</v>
      </c>
      <c r="H46" s="32">
        <v>195475</v>
      </c>
      <c r="I46" s="32">
        <v>623375</v>
      </c>
      <c r="J46" s="25"/>
      <c r="K46" s="25"/>
      <c r="L46" s="25"/>
      <c r="M46" s="25"/>
      <c r="N46" s="25"/>
      <c r="O46" s="25"/>
      <c r="P46" s="25"/>
      <c r="Q46" s="25"/>
      <c r="R46" s="25"/>
      <c r="S46" s="25"/>
      <c r="T46" s="26"/>
    </row>
    <row r="47" spans="2:20" x14ac:dyDescent="0.35">
      <c r="B47" s="24"/>
      <c r="C47" s="31" t="s">
        <v>143</v>
      </c>
      <c r="D47" s="32">
        <v>102420</v>
      </c>
      <c r="E47" s="32">
        <v>173315</v>
      </c>
      <c r="F47" s="32">
        <v>118800</v>
      </c>
      <c r="G47" s="32">
        <v>146152.5</v>
      </c>
      <c r="H47" s="32">
        <v>254925</v>
      </c>
      <c r="I47" s="32">
        <v>795612.5</v>
      </c>
      <c r="J47" s="25"/>
      <c r="K47" s="25"/>
      <c r="L47" s="25"/>
      <c r="M47" s="25"/>
      <c r="N47" s="25"/>
      <c r="O47" s="25"/>
      <c r="P47" s="25"/>
      <c r="Q47" s="25"/>
      <c r="R47" s="25"/>
      <c r="S47" s="25"/>
      <c r="T47" s="26"/>
    </row>
    <row r="48" spans="2:20" x14ac:dyDescent="0.35">
      <c r="B48" s="24"/>
      <c r="C48" s="31" t="s">
        <v>144</v>
      </c>
      <c r="D48" s="32">
        <v>145387.5</v>
      </c>
      <c r="E48" s="32">
        <v>202612.5</v>
      </c>
      <c r="F48" s="32">
        <v>175487.5</v>
      </c>
      <c r="G48" s="32">
        <v>191475</v>
      </c>
      <c r="H48" s="32">
        <v>330812.5</v>
      </c>
      <c r="I48" s="32">
        <v>1045775</v>
      </c>
      <c r="J48" s="25"/>
      <c r="K48" s="25"/>
      <c r="L48" s="25"/>
      <c r="M48" s="25"/>
      <c r="N48" s="25"/>
      <c r="O48" s="25"/>
      <c r="P48" s="25"/>
      <c r="Q48" s="25"/>
      <c r="R48" s="25"/>
      <c r="S48" s="25"/>
      <c r="T48" s="26"/>
    </row>
    <row r="49" spans="2:20" x14ac:dyDescent="0.35">
      <c r="B49" s="24"/>
      <c r="C49" s="35" t="s">
        <v>132</v>
      </c>
      <c r="D49" s="36">
        <v>1150110</v>
      </c>
      <c r="E49" s="36">
        <v>1788347.5</v>
      </c>
      <c r="F49" s="36">
        <v>1291535</v>
      </c>
      <c r="G49" s="36">
        <v>1618935</v>
      </c>
      <c r="H49" s="36">
        <v>2835100</v>
      </c>
      <c r="I49" s="36">
        <v>8684027.5</v>
      </c>
      <c r="J49" s="25"/>
      <c r="K49" s="25"/>
      <c r="L49" s="25"/>
      <c r="M49" s="25"/>
      <c r="N49" s="25"/>
      <c r="O49" s="25"/>
      <c r="P49" s="25"/>
      <c r="Q49" s="25"/>
      <c r="R49" s="25"/>
      <c r="S49" s="25"/>
      <c r="T49" s="26"/>
    </row>
    <row r="50" spans="2:20" x14ac:dyDescent="0.35">
      <c r="B50" s="24"/>
      <c r="C50" s="25"/>
      <c r="D50" s="25"/>
      <c r="E50" s="25"/>
      <c r="F50" s="25"/>
      <c r="G50" s="25"/>
      <c r="H50" s="25"/>
      <c r="I50" s="25"/>
      <c r="J50" s="25"/>
      <c r="K50" s="25"/>
      <c r="L50" s="25"/>
      <c r="M50" s="25"/>
      <c r="N50" s="25"/>
      <c r="O50" s="25"/>
      <c r="P50" s="25"/>
      <c r="Q50" s="25"/>
      <c r="R50" s="25"/>
      <c r="S50" s="25"/>
      <c r="T50" s="26"/>
    </row>
    <row r="51" spans="2:20" x14ac:dyDescent="0.35">
      <c r="B51" s="24"/>
      <c r="C51" s="25"/>
      <c r="D51" s="25"/>
      <c r="E51" s="25"/>
      <c r="F51" s="25"/>
      <c r="G51" s="25"/>
      <c r="H51" s="25"/>
      <c r="I51" s="25"/>
      <c r="J51" s="25"/>
      <c r="K51" s="25"/>
      <c r="L51" s="25"/>
      <c r="M51" s="25"/>
      <c r="N51" s="25"/>
      <c r="O51" s="25"/>
      <c r="P51" s="25"/>
      <c r="Q51" s="25"/>
      <c r="R51" s="25"/>
      <c r="S51" s="25"/>
      <c r="T51" s="26"/>
    </row>
    <row r="52" spans="2:20" x14ac:dyDescent="0.35">
      <c r="B52" s="24"/>
      <c r="C52" s="25"/>
      <c r="D52" s="25"/>
      <c r="E52" s="66" t="s">
        <v>158</v>
      </c>
      <c r="F52" s="78"/>
      <c r="G52" s="78"/>
      <c r="H52" s="78"/>
      <c r="I52" s="78"/>
      <c r="J52" s="78"/>
      <c r="K52" s="78"/>
      <c r="L52" s="78"/>
      <c r="M52" s="78"/>
      <c r="N52" s="78"/>
      <c r="O52" s="78"/>
      <c r="P52" s="79"/>
      <c r="Q52" s="25"/>
      <c r="R52" s="25"/>
      <c r="S52" s="25"/>
      <c r="T52" s="26"/>
    </row>
    <row r="53" spans="2:20" x14ac:dyDescent="0.35">
      <c r="B53" s="24"/>
      <c r="C53" s="25"/>
      <c r="D53" s="25"/>
      <c r="E53" s="80"/>
      <c r="F53" s="75"/>
      <c r="G53" s="75"/>
      <c r="H53" s="75"/>
      <c r="I53" s="75"/>
      <c r="J53" s="75"/>
      <c r="K53" s="75"/>
      <c r="L53" s="75"/>
      <c r="M53" s="75"/>
      <c r="N53" s="75"/>
      <c r="O53" s="75"/>
      <c r="P53" s="81"/>
      <c r="Q53" s="25"/>
      <c r="R53" s="25"/>
      <c r="S53" s="25"/>
      <c r="T53" s="26"/>
    </row>
    <row r="54" spans="2:20" x14ac:dyDescent="0.35">
      <c r="B54" s="24"/>
      <c r="C54" s="25"/>
      <c r="D54" s="25"/>
      <c r="E54" s="80"/>
      <c r="F54" s="75"/>
      <c r="G54" s="75"/>
      <c r="H54" s="75"/>
      <c r="I54" s="75"/>
      <c r="J54" s="75"/>
      <c r="K54" s="75"/>
      <c r="L54" s="75"/>
      <c r="M54" s="75"/>
      <c r="N54" s="75"/>
      <c r="O54" s="75"/>
      <c r="P54" s="81"/>
      <c r="Q54" s="25"/>
      <c r="R54" s="25"/>
      <c r="S54" s="25"/>
      <c r="T54" s="26"/>
    </row>
    <row r="55" spans="2:20" x14ac:dyDescent="0.35">
      <c r="B55" s="24"/>
      <c r="C55" s="25"/>
      <c r="D55" s="25"/>
      <c r="E55" s="80"/>
      <c r="F55" s="75"/>
      <c r="G55" s="75"/>
      <c r="H55" s="75"/>
      <c r="I55" s="75"/>
      <c r="J55" s="75"/>
      <c r="K55" s="75"/>
      <c r="L55" s="75"/>
      <c r="M55" s="75"/>
      <c r="N55" s="75"/>
      <c r="O55" s="75"/>
      <c r="P55" s="81"/>
      <c r="Q55" s="25"/>
      <c r="R55" s="25"/>
      <c r="S55" s="25"/>
      <c r="T55" s="26"/>
    </row>
    <row r="56" spans="2:20" x14ac:dyDescent="0.35">
      <c r="B56" s="24"/>
      <c r="C56" s="25"/>
      <c r="D56" s="25"/>
      <c r="E56" s="80"/>
      <c r="F56" s="75"/>
      <c r="G56" s="75"/>
      <c r="H56" s="75"/>
      <c r="I56" s="75"/>
      <c r="J56" s="75"/>
      <c r="K56" s="75"/>
      <c r="L56" s="75"/>
      <c r="M56" s="75"/>
      <c r="N56" s="75"/>
      <c r="O56" s="75"/>
      <c r="P56" s="81"/>
      <c r="Q56" s="25"/>
      <c r="R56" s="25"/>
      <c r="S56" s="25"/>
      <c r="T56" s="26"/>
    </row>
    <row r="57" spans="2:20" x14ac:dyDescent="0.35">
      <c r="B57" s="24"/>
      <c r="C57" s="25"/>
      <c r="D57" s="25"/>
      <c r="E57" s="80"/>
      <c r="F57" s="75"/>
      <c r="G57" s="75"/>
      <c r="H57" s="75"/>
      <c r="I57" s="75"/>
      <c r="J57" s="75"/>
      <c r="K57" s="75"/>
      <c r="L57" s="75"/>
      <c r="M57" s="75"/>
      <c r="N57" s="75"/>
      <c r="O57" s="75"/>
      <c r="P57" s="81"/>
      <c r="Q57" s="25"/>
      <c r="R57" s="25"/>
      <c r="S57" s="25"/>
      <c r="T57" s="26"/>
    </row>
    <row r="58" spans="2:20" x14ac:dyDescent="0.35">
      <c r="B58" s="24"/>
      <c r="C58" s="25"/>
      <c r="D58" s="25"/>
      <c r="E58" s="82"/>
      <c r="F58" s="83"/>
      <c r="G58" s="83"/>
      <c r="H58" s="83"/>
      <c r="I58" s="83"/>
      <c r="J58" s="83"/>
      <c r="K58" s="83"/>
      <c r="L58" s="83"/>
      <c r="M58" s="83"/>
      <c r="N58" s="83"/>
      <c r="O58" s="83"/>
      <c r="P58" s="84"/>
      <c r="Q58" s="25"/>
      <c r="R58" s="25"/>
      <c r="S58" s="25"/>
      <c r="T58" s="26"/>
    </row>
    <row r="59" spans="2:20" x14ac:dyDescent="0.35">
      <c r="B59" s="27"/>
      <c r="C59" s="28"/>
      <c r="D59" s="28"/>
      <c r="E59" s="28"/>
      <c r="F59" s="28"/>
      <c r="G59" s="28"/>
      <c r="H59" s="28"/>
      <c r="I59" s="28"/>
      <c r="J59" s="28"/>
      <c r="K59" s="28"/>
      <c r="L59" s="28"/>
      <c r="M59" s="28"/>
      <c r="N59" s="28"/>
      <c r="O59" s="28"/>
      <c r="P59" s="28"/>
      <c r="Q59" s="28"/>
      <c r="R59" s="28"/>
      <c r="S59" s="28"/>
      <c r="T59" s="29"/>
    </row>
    <row r="61" spans="2:20" x14ac:dyDescent="0.35">
      <c r="B61" s="21"/>
      <c r="C61" s="22"/>
      <c r="D61" s="22"/>
      <c r="E61" s="22"/>
      <c r="F61" s="22"/>
      <c r="G61" s="22"/>
      <c r="H61" s="22"/>
      <c r="I61" s="22"/>
      <c r="J61" s="22"/>
      <c r="K61" s="22"/>
      <c r="L61" s="22"/>
      <c r="M61" s="22"/>
      <c r="N61" s="22"/>
      <c r="O61" s="22"/>
      <c r="P61" s="22"/>
      <c r="Q61" s="22"/>
      <c r="R61" s="22"/>
      <c r="S61" s="22"/>
      <c r="T61" s="23"/>
    </row>
    <row r="62" spans="2:20" x14ac:dyDescent="0.35">
      <c r="B62" s="24"/>
      <c r="C62" s="25"/>
      <c r="D62" s="25"/>
      <c r="E62" s="59" t="s">
        <v>160</v>
      </c>
      <c r="F62" s="60"/>
      <c r="G62" s="60"/>
      <c r="H62" s="60"/>
      <c r="I62" s="60"/>
      <c r="J62" s="60"/>
      <c r="K62" s="60"/>
      <c r="L62" s="60"/>
      <c r="M62" s="60"/>
      <c r="N62" s="60"/>
      <c r="O62" s="60"/>
      <c r="P62" s="61"/>
      <c r="Q62" s="25"/>
      <c r="R62" s="25"/>
      <c r="S62" s="25"/>
      <c r="T62" s="26"/>
    </row>
    <row r="63" spans="2:20" x14ac:dyDescent="0.35">
      <c r="B63" s="24"/>
      <c r="C63" s="25"/>
      <c r="D63" s="25"/>
      <c r="E63" s="25"/>
      <c r="F63" s="25"/>
      <c r="G63" s="25"/>
      <c r="H63" s="25"/>
      <c r="I63" s="25"/>
      <c r="J63" s="25"/>
      <c r="K63" s="25"/>
      <c r="L63" s="25"/>
      <c r="M63" s="25"/>
      <c r="N63" s="25"/>
      <c r="O63" s="25"/>
      <c r="P63" s="25"/>
      <c r="Q63" s="25"/>
      <c r="R63" s="25"/>
      <c r="S63" s="25"/>
      <c r="T63" s="26"/>
    </row>
    <row r="64" spans="2:20" x14ac:dyDescent="0.35">
      <c r="B64" s="24"/>
      <c r="C64" s="34" t="s">
        <v>146</v>
      </c>
      <c r="D64" s="34" t="s">
        <v>131</v>
      </c>
      <c r="E64" s="34"/>
      <c r="F64" s="34"/>
      <c r="G64" s="34"/>
      <c r="H64" s="34"/>
      <c r="I64" s="25"/>
      <c r="J64" s="25"/>
      <c r="K64" s="25"/>
      <c r="L64" s="25"/>
      <c r="M64" s="25"/>
      <c r="N64" s="25"/>
      <c r="O64" s="25"/>
      <c r="P64" s="25"/>
      <c r="Q64" s="25"/>
      <c r="R64" s="25"/>
      <c r="S64" s="25"/>
      <c r="T64" s="26"/>
    </row>
    <row r="65" spans="2:20" x14ac:dyDescent="0.35">
      <c r="B65" s="24"/>
      <c r="C65" s="34" t="s">
        <v>145</v>
      </c>
      <c r="D65" s="34" t="s">
        <v>23</v>
      </c>
      <c r="E65" s="34" t="s">
        <v>31</v>
      </c>
      <c r="F65" s="34" t="s">
        <v>27</v>
      </c>
      <c r="G65" s="34" t="s">
        <v>14</v>
      </c>
      <c r="H65" s="34" t="s">
        <v>132</v>
      </c>
      <c r="I65" s="25"/>
      <c r="J65" s="25"/>
      <c r="K65" s="25"/>
      <c r="L65" s="25"/>
      <c r="M65" s="25"/>
      <c r="N65" s="25"/>
      <c r="O65" s="25"/>
      <c r="P65" s="25"/>
      <c r="Q65" s="25"/>
      <c r="R65" s="25"/>
      <c r="S65" s="25"/>
      <c r="T65" s="26"/>
    </row>
    <row r="66" spans="2:20" x14ac:dyDescent="0.35">
      <c r="B66" s="24"/>
      <c r="C66" s="31" t="s">
        <v>133</v>
      </c>
      <c r="D66" s="32">
        <v>70662.5</v>
      </c>
      <c r="E66" s="32">
        <v>27787.5</v>
      </c>
      <c r="F66" s="32">
        <v>122637.5</v>
      </c>
      <c r="G66" s="32">
        <v>289662.5</v>
      </c>
      <c r="H66" s="32">
        <v>510750</v>
      </c>
      <c r="I66" s="25"/>
      <c r="J66" s="25"/>
      <c r="K66" s="25"/>
      <c r="L66" s="25"/>
      <c r="M66" s="25"/>
      <c r="N66" s="25"/>
      <c r="O66" s="25"/>
      <c r="P66" s="25"/>
      <c r="Q66" s="25"/>
      <c r="R66" s="25"/>
      <c r="S66" s="25"/>
      <c r="T66" s="26"/>
    </row>
    <row r="67" spans="2:20" x14ac:dyDescent="0.35">
      <c r="B67" s="24"/>
      <c r="C67" s="31" t="s">
        <v>134</v>
      </c>
      <c r="D67" s="32">
        <v>66475</v>
      </c>
      <c r="E67" s="32">
        <v>26287.5</v>
      </c>
      <c r="F67" s="32">
        <v>116462.5</v>
      </c>
      <c r="G67" s="32">
        <v>275750</v>
      </c>
      <c r="H67" s="32">
        <v>484975</v>
      </c>
      <c r="I67" s="25"/>
      <c r="J67" s="25"/>
      <c r="K67" s="25"/>
      <c r="L67" s="25"/>
      <c r="M67" s="25"/>
      <c r="N67" s="25"/>
      <c r="O67" s="25"/>
      <c r="P67" s="25"/>
      <c r="Q67" s="25"/>
      <c r="R67" s="25"/>
      <c r="S67" s="25"/>
      <c r="T67" s="26"/>
    </row>
    <row r="68" spans="2:20" x14ac:dyDescent="0.35">
      <c r="B68" s="24"/>
      <c r="C68" s="31" t="s">
        <v>135</v>
      </c>
      <c r="D68" s="32">
        <v>65845</v>
      </c>
      <c r="E68" s="32">
        <v>26162.5</v>
      </c>
      <c r="F68" s="32">
        <v>142462.5</v>
      </c>
      <c r="G68" s="32">
        <v>249060</v>
      </c>
      <c r="H68" s="32">
        <v>483530</v>
      </c>
      <c r="I68" s="25"/>
      <c r="J68" s="25"/>
      <c r="K68" s="25"/>
      <c r="L68" s="25"/>
      <c r="M68" s="25"/>
      <c r="N68" s="25"/>
      <c r="O68" s="25"/>
      <c r="P68" s="25"/>
      <c r="Q68" s="25"/>
      <c r="R68" s="25"/>
      <c r="S68" s="25"/>
      <c r="T68" s="26"/>
    </row>
    <row r="69" spans="2:20" x14ac:dyDescent="0.35">
      <c r="B69" s="24"/>
      <c r="C69" s="31" t="s">
        <v>136</v>
      </c>
      <c r="D69" s="32">
        <v>60662.5</v>
      </c>
      <c r="E69" s="32">
        <v>28537.5</v>
      </c>
      <c r="F69" s="32">
        <v>160650</v>
      </c>
      <c r="G69" s="32">
        <v>245037.5</v>
      </c>
      <c r="H69" s="32">
        <v>494887.5</v>
      </c>
      <c r="I69" s="25"/>
      <c r="J69" s="25"/>
      <c r="K69" s="25"/>
      <c r="L69" s="25"/>
      <c r="M69" s="25"/>
      <c r="N69" s="25"/>
      <c r="O69" s="25"/>
      <c r="P69" s="25"/>
      <c r="Q69" s="25"/>
      <c r="R69" s="25"/>
      <c r="S69" s="25"/>
      <c r="T69" s="26"/>
    </row>
    <row r="70" spans="2:20" x14ac:dyDescent="0.35">
      <c r="B70" s="24"/>
      <c r="C70" s="31" t="s">
        <v>137</v>
      </c>
      <c r="D70" s="32">
        <v>89965</v>
      </c>
      <c r="E70" s="32">
        <v>29725</v>
      </c>
      <c r="F70" s="32">
        <v>179525</v>
      </c>
      <c r="G70" s="32">
        <v>374357.5</v>
      </c>
      <c r="H70" s="32">
        <v>673572.5</v>
      </c>
      <c r="I70" s="25"/>
      <c r="J70" s="25"/>
      <c r="K70" s="25"/>
      <c r="L70" s="25"/>
      <c r="M70" s="25"/>
      <c r="N70" s="25"/>
      <c r="O70" s="25"/>
      <c r="P70" s="25"/>
      <c r="Q70" s="25"/>
      <c r="R70" s="25"/>
      <c r="S70" s="25"/>
      <c r="T70" s="26"/>
    </row>
    <row r="71" spans="2:20" x14ac:dyDescent="0.35">
      <c r="B71" s="24"/>
      <c r="C71" s="31" t="s">
        <v>138</v>
      </c>
      <c r="D71" s="32">
        <v>134537.5</v>
      </c>
      <c r="E71" s="32">
        <v>36250</v>
      </c>
      <c r="F71" s="32">
        <v>306475</v>
      </c>
      <c r="G71" s="32">
        <v>426575</v>
      </c>
      <c r="H71" s="32">
        <v>903837.5</v>
      </c>
      <c r="I71" s="25"/>
      <c r="J71" s="25"/>
      <c r="K71" s="25"/>
      <c r="L71" s="25"/>
      <c r="M71" s="25"/>
      <c r="N71" s="25"/>
      <c r="O71" s="25"/>
      <c r="P71" s="25"/>
      <c r="Q71" s="25"/>
      <c r="R71" s="25"/>
      <c r="S71" s="25"/>
      <c r="T71" s="26"/>
    </row>
    <row r="72" spans="2:20" x14ac:dyDescent="0.35">
      <c r="B72" s="24"/>
      <c r="C72" s="31" t="s">
        <v>139</v>
      </c>
      <c r="D72" s="32">
        <v>157912.5</v>
      </c>
      <c r="E72" s="32">
        <v>37962.5</v>
      </c>
      <c r="F72" s="32">
        <v>349812.5</v>
      </c>
      <c r="G72" s="32">
        <v>495750</v>
      </c>
      <c r="H72" s="32">
        <v>1041437.5</v>
      </c>
      <c r="I72" s="25"/>
      <c r="J72" s="25"/>
      <c r="K72" s="25"/>
      <c r="L72" s="25"/>
      <c r="M72" s="25"/>
      <c r="N72" s="25"/>
      <c r="O72" s="25"/>
      <c r="P72" s="25"/>
      <c r="Q72" s="25"/>
      <c r="R72" s="25"/>
      <c r="S72" s="25"/>
      <c r="T72" s="26"/>
    </row>
    <row r="73" spans="2:20" x14ac:dyDescent="0.35">
      <c r="B73" s="24"/>
      <c r="C73" s="31" t="s">
        <v>140</v>
      </c>
      <c r="D73" s="32">
        <v>152275</v>
      </c>
      <c r="E73" s="32">
        <v>40075</v>
      </c>
      <c r="F73" s="32">
        <v>304175</v>
      </c>
      <c r="G73" s="32">
        <v>448750</v>
      </c>
      <c r="H73" s="32">
        <v>945275</v>
      </c>
      <c r="I73" s="25"/>
      <c r="J73" s="25"/>
      <c r="K73" s="25"/>
      <c r="L73" s="25"/>
      <c r="M73" s="25"/>
      <c r="N73" s="25"/>
      <c r="O73" s="25"/>
      <c r="P73" s="25"/>
      <c r="Q73" s="25"/>
      <c r="R73" s="25"/>
      <c r="S73" s="25"/>
      <c r="T73" s="26"/>
    </row>
    <row r="74" spans="2:20" x14ac:dyDescent="0.35">
      <c r="B74" s="24"/>
      <c r="C74" s="31" t="s">
        <v>141</v>
      </c>
      <c r="D74" s="32">
        <v>117225</v>
      </c>
      <c r="E74" s="32">
        <v>38550</v>
      </c>
      <c r="F74" s="32">
        <v>191987.5</v>
      </c>
      <c r="G74" s="32">
        <v>333237.5</v>
      </c>
      <c r="H74" s="32">
        <v>681000</v>
      </c>
      <c r="I74" s="25"/>
      <c r="J74" s="25"/>
      <c r="K74" s="25"/>
      <c r="L74" s="25"/>
      <c r="M74" s="25"/>
      <c r="N74" s="25"/>
      <c r="O74" s="25"/>
      <c r="P74" s="25"/>
      <c r="Q74" s="25"/>
      <c r="R74" s="25"/>
      <c r="S74" s="25"/>
      <c r="T74" s="26"/>
    </row>
    <row r="75" spans="2:20" x14ac:dyDescent="0.35">
      <c r="B75" s="24"/>
      <c r="C75" s="31" t="s">
        <v>142</v>
      </c>
      <c r="D75" s="32">
        <v>81687.5</v>
      </c>
      <c r="E75" s="32">
        <v>35637.5</v>
      </c>
      <c r="F75" s="32">
        <v>172875</v>
      </c>
      <c r="G75" s="32">
        <v>333175</v>
      </c>
      <c r="H75" s="32">
        <v>623375</v>
      </c>
      <c r="I75" s="25"/>
      <c r="J75" s="25"/>
      <c r="K75" s="25"/>
      <c r="L75" s="25"/>
      <c r="M75" s="25"/>
      <c r="N75" s="25"/>
      <c r="O75" s="25"/>
      <c r="P75" s="25"/>
      <c r="Q75" s="25"/>
      <c r="R75" s="25"/>
      <c r="S75" s="25"/>
      <c r="T75" s="26"/>
    </row>
    <row r="76" spans="2:20" x14ac:dyDescent="0.35">
      <c r="B76" s="24"/>
      <c r="C76" s="31" t="s">
        <v>143</v>
      </c>
      <c r="D76" s="32">
        <v>118800</v>
      </c>
      <c r="E76" s="32">
        <v>36637.5</v>
      </c>
      <c r="F76" s="32">
        <v>231487.5</v>
      </c>
      <c r="G76" s="32">
        <v>408687.5</v>
      </c>
      <c r="H76" s="32">
        <v>795612.5</v>
      </c>
      <c r="I76" s="25"/>
      <c r="J76" s="25"/>
      <c r="K76" s="25"/>
      <c r="L76" s="25"/>
      <c r="M76" s="25"/>
      <c r="N76" s="25"/>
      <c r="O76" s="25"/>
      <c r="P76" s="25"/>
      <c r="Q76" s="25"/>
      <c r="R76" s="25"/>
      <c r="S76" s="25"/>
      <c r="T76" s="26"/>
    </row>
    <row r="77" spans="2:20" x14ac:dyDescent="0.35">
      <c r="B77" s="24"/>
      <c r="C77" s="31" t="s">
        <v>144</v>
      </c>
      <c r="D77" s="32">
        <v>175487.5</v>
      </c>
      <c r="E77" s="32">
        <v>40800</v>
      </c>
      <c r="F77" s="32">
        <v>305900</v>
      </c>
      <c r="G77" s="32">
        <v>523587.5</v>
      </c>
      <c r="H77" s="32">
        <v>1045775</v>
      </c>
      <c r="I77" s="25"/>
      <c r="J77" s="25"/>
      <c r="K77" s="25"/>
      <c r="L77" s="25"/>
      <c r="M77" s="25"/>
      <c r="N77" s="25"/>
      <c r="O77" s="25"/>
      <c r="P77" s="25"/>
      <c r="Q77" s="25"/>
      <c r="R77" s="25"/>
      <c r="S77" s="25"/>
      <c r="T77" s="26"/>
    </row>
    <row r="78" spans="2:20" x14ac:dyDescent="0.35">
      <c r="B78" s="24"/>
      <c r="C78" s="35" t="s">
        <v>132</v>
      </c>
      <c r="D78" s="36">
        <v>1291535</v>
      </c>
      <c r="E78" s="36">
        <v>404412.5</v>
      </c>
      <c r="F78" s="36">
        <v>2584450</v>
      </c>
      <c r="G78" s="36">
        <v>4403630</v>
      </c>
      <c r="H78" s="36">
        <v>8684027.5</v>
      </c>
      <c r="I78" s="25"/>
      <c r="J78" s="25"/>
      <c r="K78" s="25"/>
      <c r="L78" s="25"/>
      <c r="M78" s="25"/>
      <c r="N78" s="25"/>
      <c r="O78" s="25"/>
      <c r="P78" s="25"/>
      <c r="Q78" s="25"/>
      <c r="R78" s="25"/>
      <c r="S78" s="25"/>
      <c r="T78" s="26"/>
    </row>
    <row r="79" spans="2:20" x14ac:dyDescent="0.35">
      <c r="B79" s="24"/>
      <c r="C79" s="25"/>
      <c r="D79" s="25"/>
      <c r="E79" s="25"/>
      <c r="F79" s="25"/>
      <c r="G79" s="25"/>
      <c r="H79" s="25"/>
      <c r="I79" s="25"/>
      <c r="J79" s="25"/>
      <c r="K79" s="25"/>
      <c r="L79" s="25"/>
      <c r="M79" s="25"/>
      <c r="N79" s="25"/>
      <c r="O79" s="25"/>
      <c r="P79" s="25"/>
      <c r="Q79" s="25"/>
      <c r="R79" s="25"/>
      <c r="S79" s="25"/>
      <c r="T79" s="26"/>
    </row>
    <row r="80" spans="2:20" x14ac:dyDescent="0.35">
      <c r="B80" s="24"/>
      <c r="C80" s="25"/>
      <c r="D80" s="25"/>
      <c r="E80" s="25"/>
      <c r="F80" s="25"/>
      <c r="G80" s="25"/>
      <c r="H80" s="25"/>
      <c r="I80" s="25"/>
      <c r="J80" s="25"/>
      <c r="K80" s="25"/>
      <c r="L80" s="25"/>
      <c r="M80" s="25"/>
      <c r="N80" s="25"/>
      <c r="O80" s="25"/>
      <c r="P80" s="25"/>
      <c r="Q80" s="25"/>
      <c r="R80" s="25"/>
      <c r="S80" s="25"/>
      <c r="T80" s="26"/>
    </row>
    <row r="81" spans="2:20" ht="14.5" customHeight="1" x14ac:dyDescent="0.35">
      <c r="B81" s="24"/>
      <c r="C81" s="25"/>
      <c r="D81" s="25"/>
      <c r="E81" s="66" t="s">
        <v>161</v>
      </c>
      <c r="F81" s="76"/>
      <c r="G81" s="76"/>
      <c r="H81" s="76"/>
      <c r="I81" s="76"/>
      <c r="J81" s="76"/>
      <c r="K81" s="76"/>
      <c r="L81" s="76"/>
      <c r="M81" s="76"/>
      <c r="N81" s="76"/>
      <c r="O81" s="76"/>
      <c r="P81" s="67"/>
      <c r="Q81" s="25"/>
      <c r="R81" s="25"/>
      <c r="S81" s="25"/>
      <c r="T81" s="26"/>
    </row>
    <row r="82" spans="2:20" x14ac:dyDescent="0.35">
      <c r="B82" s="24"/>
      <c r="C82" s="25"/>
      <c r="D82" s="25"/>
      <c r="E82" s="68"/>
      <c r="F82" s="65"/>
      <c r="G82" s="65"/>
      <c r="H82" s="65"/>
      <c r="I82" s="65"/>
      <c r="J82" s="65"/>
      <c r="K82" s="65"/>
      <c r="L82" s="65"/>
      <c r="M82" s="65"/>
      <c r="N82" s="65"/>
      <c r="O82" s="65"/>
      <c r="P82" s="69"/>
      <c r="Q82" s="25"/>
      <c r="R82" s="25"/>
      <c r="S82" s="25"/>
      <c r="T82" s="26"/>
    </row>
    <row r="83" spans="2:20" x14ac:dyDescent="0.35">
      <c r="B83" s="24"/>
      <c r="C83" s="25"/>
      <c r="D83" s="25"/>
      <c r="E83" s="68"/>
      <c r="F83" s="65"/>
      <c r="G83" s="65"/>
      <c r="H83" s="65"/>
      <c r="I83" s="65"/>
      <c r="J83" s="65"/>
      <c r="K83" s="65"/>
      <c r="L83" s="65"/>
      <c r="M83" s="65"/>
      <c r="N83" s="65"/>
      <c r="O83" s="65"/>
      <c r="P83" s="69"/>
      <c r="Q83" s="25"/>
      <c r="R83" s="25"/>
      <c r="S83" s="25"/>
      <c r="T83" s="26"/>
    </row>
    <row r="84" spans="2:20" x14ac:dyDescent="0.35">
      <c r="B84" s="24"/>
      <c r="C84" s="25"/>
      <c r="D84" s="25"/>
      <c r="E84" s="68"/>
      <c r="F84" s="65"/>
      <c r="G84" s="65"/>
      <c r="H84" s="65"/>
      <c r="I84" s="65"/>
      <c r="J84" s="65"/>
      <c r="K84" s="65"/>
      <c r="L84" s="65"/>
      <c r="M84" s="65"/>
      <c r="N84" s="65"/>
      <c r="O84" s="65"/>
      <c r="P84" s="69"/>
      <c r="Q84" s="25"/>
      <c r="R84" s="25"/>
      <c r="S84" s="25"/>
      <c r="T84" s="26"/>
    </row>
    <row r="85" spans="2:20" x14ac:dyDescent="0.35">
      <c r="B85" s="24"/>
      <c r="C85" s="25"/>
      <c r="D85" s="25"/>
      <c r="E85" s="68"/>
      <c r="F85" s="65"/>
      <c r="G85" s="65"/>
      <c r="H85" s="65"/>
      <c r="I85" s="65"/>
      <c r="J85" s="65"/>
      <c r="K85" s="65"/>
      <c r="L85" s="65"/>
      <c r="M85" s="65"/>
      <c r="N85" s="65"/>
      <c r="O85" s="65"/>
      <c r="P85" s="69"/>
      <c r="Q85" s="25"/>
      <c r="R85" s="25"/>
      <c r="S85" s="25"/>
      <c r="T85" s="26"/>
    </row>
    <row r="86" spans="2:20" x14ac:dyDescent="0.35">
      <c r="B86" s="24"/>
      <c r="C86" s="25"/>
      <c r="D86" s="25"/>
      <c r="E86" s="68"/>
      <c r="F86" s="65"/>
      <c r="G86" s="65"/>
      <c r="H86" s="65"/>
      <c r="I86" s="65"/>
      <c r="J86" s="65"/>
      <c r="K86" s="65"/>
      <c r="L86" s="65"/>
      <c r="M86" s="65"/>
      <c r="N86" s="65"/>
      <c r="O86" s="65"/>
      <c r="P86" s="69"/>
      <c r="Q86" s="25"/>
      <c r="R86" s="25"/>
      <c r="S86" s="25"/>
      <c r="T86" s="26"/>
    </row>
    <row r="87" spans="2:20" x14ac:dyDescent="0.35">
      <c r="B87" s="24"/>
      <c r="C87" s="25"/>
      <c r="D87" s="25"/>
      <c r="E87" s="68"/>
      <c r="F87" s="65"/>
      <c r="G87" s="65"/>
      <c r="H87" s="65"/>
      <c r="I87" s="65"/>
      <c r="J87" s="65"/>
      <c r="K87" s="65"/>
      <c r="L87" s="65"/>
      <c r="M87" s="65"/>
      <c r="N87" s="65"/>
      <c r="O87" s="65"/>
      <c r="P87" s="69"/>
      <c r="Q87" s="25"/>
      <c r="R87" s="25"/>
      <c r="S87" s="25"/>
      <c r="T87" s="26"/>
    </row>
    <row r="88" spans="2:20" x14ac:dyDescent="0.35">
      <c r="B88" s="24"/>
      <c r="C88" s="25"/>
      <c r="D88" s="25"/>
      <c r="E88" s="70"/>
      <c r="F88" s="77"/>
      <c r="G88" s="77"/>
      <c r="H88" s="77"/>
      <c r="I88" s="77"/>
      <c r="J88" s="77"/>
      <c r="K88" s="77"/>
      <c r="L88" s="77"/>
      <c r="M88" s="77"/>
      <c r="N88" s="77"/>
      <c r="O88" s="77"/>
      <c r="P88" s="71"/>
      <c r="Q88" s="25"/>
      <c r="R88" s="25"/>
      <c r="S88" s="25"/>
      <c r="T88" s="26"/>
    </row>
    <row r="89" spans="2:20" x14ac:dyDescent="0.35">
      <c r="B89" s="27"/>
      <c r="C89" s="28"/>
      <c r="D89" s="28"/>
      <c r="E89" s="95"/>
      <c r="F89" s="95"/>
      <c r="G89" s="95"/>
      <c r="H89" s="95"/>
      <c r="I89" s="95"/>
      <c r="J89" s="95"/>
      <c r="K89" s="95"/>
      <c r="L89" s="95"/>
      <c r="M89" s="95"/>
      <c r="N89" s="95"/>
      <c r="O89" s="95"/>
      <c r="P89" s="95"/>
      <c r="Q89" s="28"/>
      <c r="R89" s="28"/>
      <c r="S89" s="28"/>
      <c r="T89" s="29"/>
    </row>
    <row r="90" spans="2:20" x14ac:dyDescent="0.35">
      <c r="E90" s="85"/>
      <c r="F90" s="85"/>
      <c r="G90" s="85"/>
      <c r="H90" s="85"/>
      <c r="I90" s="85"/>
      <c r="J90" s="85"/>
      <c r="K90" s="85"/>
      <c r="L90" s="85"/>
      <c r="M90" s="85"/>
      <c r="N90" s="85"/>
      <c r="O90" s="85"/>
      <c r="P90" s="85"/>
    </row>
    <row r="91" spans="2:20" x14ac:dyDescent="0.35">
      <c r="B91" s="21"/>
      <c r="C91" s="22"/>
      <c r="D91" s="22"/>
      <c r="E91" s="22"/>
      <c r="F91" s="22"/>
      <c r="G91" s="22"/>
      <c r="H91" s="22"/>
      <c r="I91" s="22"/>
      <c r="J91" s="22"/>
      <c r="K91" s="22"/>
      <c r="L91" s="22"/>
      <c r="M91" s="22"/>
      <c r="N91" s="22"/>
      <c r="O91" s="22"/>
      <c r="P91" s="22"/>
      <c r="Q91" s="22"/>
      <c r="R91" s="22"/>
      <c r="S91" s="22"/>
      <c r="T91" s="23"/>
    </row>
    <row r="92" spans="2:20" x14ac:dyDescent="0.35">
      <c r="B92" s="24"/>
      <c r="C92" s="25"/>
      <c r="D92" s="25"/>
      <c r="E92" s="59" t="s">
        <v>163</v>
      </c>
      <c r="F92" s="38"/>
      <c r="G92" s="38"/>
      <c r="H92" s="38"/>
      <c r="I92" s="38"/>
      <c r="J92" s="38"/>
      <c r="K92" s="38"/>
      <c r="L92" s="38"/>
      <c r="M92" s="38"/>
      <c r="N92" s="38"/>
      <c r="O92" s="38"/>
      <c r="P92" s="39"/>
      <c r="Q92" s="25"/>
      <c r="R92" s="25"/>
      <c r="S92" s="25"/>
      <c r="T92" s="26"/>
    </row>
    <row r="93" spans="2:20" x14ac:dyDescent="0.35">
      <c r="B93" s="24"/>
      <c r="C93" s="25"/>
      <c r="D93" s="25"/>
      <c r="E93" s="25"/>
      <c r="F93" s="25"/>
      <c r="G93" s="25"/>
      <c r="H93" s="25"/>
      <c r="I93" s="25"/>
      <c r="J93" s="25"/>
      <c r="K93" s="25"/>
      <c r="L93" s="25"/>
      <c r="M93" s="25"/>
      <c r="N93" s="25"/>
      <c r="O93" s="25"/>
      <c r="P93" s="25"/>
      <c r="Q93" s="25"/>
      <c r="R93" s="25"/>
      <c r="S93" s="25"/>
      <c r="T93" s="26"/>
    </row>
    <row r="94" spans="2:20" x14ac:dyDescent="0.35">
      <c r="B94" s="24"/>
      <c r="C94" s="42"/>
      <c r="D94" s="42"/>
      <c r="E94" s="42"/>
      <c r="F94" s="42"/>
      <c r="G94" s="42"/>
      <c r="H94" s="42"/>
      <c r="I94" s="42"/>
      <c r="J94" s="42"/>
      <c r="K94" s="25"/>
      <c r="L94" s="25"/>
      <c r="M94" s="25"/>
      <c r="N94" s="25"/>
      <c r="O94" s="25"/>
      <c r="P94" s="25"/>
      <c r="Q94" s="25"/>
      <c r="R94" s="25"/>
      <c r="S94" s="25"/>
      <c r="T94" s="26"/>
    </row>
    <row r="95" spans="2:20" x14ac:dyDescent="0.35">
      <c r="B95" s="24"/>
      <c r="C95" s="42"/>
      <c r="D95" s="42"/>
      <c r="E95" s="42"/>
      <c r="F95" s="42"/>
      <c r="G95" s="42"/>
      <c r="H95" s="42"/>
      <c r="I95" s="42"/>
      <c r="J95" s="42"/>
      <c r="K95" s="25"/>
      <c r="L95" s="25"/>
      <c r="M95" s="25"/>
      <c r="N95" s="25"/>
      <c r="O95" s="25"/>
      <c r="P95" s="25"/>
      <c r="Q95" s="25"/>
      <c r="R95" s="25"/>
      <c r="S95" s="25"/>
      <c r="T95" s="26"/>
    </row>
    <row r="96" spans="2:20" x14ac:dyDescent="0.35">
      <c r="B96" s="24"/>
      <c r="C96" s="42"/>
      <c r="D96" s="42"/>
      <c r="E96" s="42"/>
      <c r="F96" s="42"/>
      <c r="G96" s="42"/>
      <c r="H96" s="42"/>
      <c r="I96" s="42"/>
      <c r="J96" s="42"/>
      <c r="K96" s="25"/>
      <c r="L96" s="25"/>
      <c r="M96" s="25"/>
      <c r="N96" s="25"/>
      <c r="O96" s="25"/>
      <c r="P96" s="25"/>
      <c r="Q96" s="25"/>
      <c r="R96" s="25"/>
      <c r="S96" s="25"/>
      <c r="T96" s="26"/>
    </row>
    <row r="97" spans="2:20" x14ac:dyDescent="0.35">
      <c r="B97" s="24"/>
      <c r="C97" s="34" t="s">
        <v>146</v>
      </c>
      <c r="D97" s="34" t="s">
        <v>131</v>
      </c>
      <c r="E97" s="34"/>
      <c r="F97" s="34"/>
      <c r="G97" s="34"/>
      <c r="H97" s="34"/>
      <c r="I97" s="34"/>
      <c r="J97" s="34"/>
      <c r="K97" s="25"/>
      <c r="L97" s="25"/>
      <c r="M97" s="25"/>
      <c r="N97" s="25"/>
      <c r="O97" s="25"/>
      <c r="P97" s="25"/>
      <c r="Q97" s="25"/>
      <c r="R97" s="25"/>
      <c r="S97" s="25"/>
      <c r="T97" s="26"/>
    </row>
    <row r="98" spans="2:20" x14ac:dyDescent="0.35">
      <c r="B98" s="24"/>
      <c r="C98" s="34" t="s">
        <v>145</v>
      </c>
      <c r="D98" s="34" t="s">
        <v>17</v>
      </c>
      <c r="E98" s="34" t="s">
        <v>22</v>
      </c>
      <c r="F98" s="34" t="s">
        <v>18</v>
      </c>
      <c r="G98" s="34" t="s">
        <v>20</v>
      </c>
      <c r="H98" s="34" t="s">
        <v>21</v>
      </c>
      <c r="I98" s="34" t="s">
        <v>19</v>
      </c>
      <c r="J98" s="34" t="s">
        <v>132</v>
      </c>
      <c r="K98" s="25"/>
      <c r="L98" s="25"/>
      <c r="M98" s="25"/>
      <c r="N98" s="25"/>
      <c r="O98" s="25"/>
      <c r="P98" s="25"/>
      <c r="Q98" s="25"/>
      <c r="R98" s="25"/>
      <c r="S98" s="25"/>
      <c r="T98" s="26"/>
    </row>
    <row r="99" spans="2:20" x14ac:dyDescent="0.35">
      <c r="B99" s="24"/>
      <c r="C99" s="31" t="s">
        <v>33</v>
      </c>
      <c r="D99" s="32">
        <v>344527.5</v>
      </c>
      <c r="E99" s="32">
        <v>243062.5</v>
      </c>
      <c r="F99" s="32">
        <v>178675</v>
      </c>
      <c r="G99" s="32">
        <v>103237.5</v>
      </c>
      <c r="H99" s="32">
        <v>147175</v>
      </c>
      <c r="I99" s="32">
        <v>133432.5</v>
      </c>
      <c r="J99" s="32">
        <v>1150110</v>
      </c>
      <c r="K99" s="25"/>
      <c r="L99" s="25"/>
      <c r="M99" s="25"/>
      <c r="N99" s="25"/>
      <c r="O99" s="25"/>
      <c r="P99" s="25"/>
      <c r="Q99" s="25"/>
      <c r="R99" s="25"/>
      <c r="S99" s="25"/>
      <c r="T99" s="26"/>
    </row>
    <row r="100" spans="2:20" x14ac:dyDescent="0.35">
      <c r="B100" s="24"/>
      <c r="C100" s="31" t="s">
        <v>15</v>
      </c>
      <c r="D100" s="32">
        <v>498157.5</v>
      </c>
      <c r="E100" s="32">
        <v>357712.5</v>
      </c>
      <c r="F100" s="32">
        <v>277050</v>
      </c>
      <c r="G100" s="32">
        <v>188862.5</v>
      </c>
      <c r="H100" s="32">
        <v>242875</v>
      </c>
      <c r="I100" s="32">
        <v>223690</v>
      </c>
      <c r="J100" s="32">
        <v>1788347.5</v>
      </c>
      <c r="K100" s="25"/>
      <c r="L100" s="25"/>
      <c r="M100" s="25"/>
      <c r="N100" s="25"/>
      <c r="O100" s="25"/>
      <c r="P100" s="25"/>
      <c r="Q100" s="25"/>
      <c r="R100" s="25"/>
      <c r="S100" s="25"/>
      <c r="T100" s="26"/>
    </row>
    <row r="101" spans="2:20" x14ac:dyDescent="0.35">
      <c r="B101" s="24"/>
      <c r="C101" s="31" t="s">
        <v>24</v>
      </c>
      <c r="D101" s="32">
        <v>248022.5</v>
      </c>
      <c r="E101" s="32">
        <v>267837.5</v>
      </c>
      <c r="F101" s="32">
        <v>231450</v>
      </c>
      <c r="G101" s="32">
        <v>165750</v>
      </c>
      <c r="H101" s="32">
        <v>171050</v>
      </c>
      <c r="I101" s="32">
        <v>207425</v>
      </c>
      <c r="J101" s="32">
        <v>1291535</v>
      </c>
      <c r="K101" s="25"/>
      <c r="L101" s="25"/>
      <c r="M101" s="25"/>
      <c r="N101" s="25"/>
      <c r="O101" s="25"/>
      <c r="P101" s="25"/>
      <c r="Q101" s="25"/>
      <c r="R101" s="25"/>
      <c r="S101" s="25"/>
      <c r="T101" s="26"/>
    </row>
    <row r="102" spans="2:20" x14ac:dyDescent="0.35">
      <c r="B102" s="24"/>
      <c r="C102" s="31" t="s">
        <v>46</v>
      </c>
      <c r="D102" s="32">
        <v>375482.5</v>
      </c>
      <c r="E102" s="32">
        <v>319662.5</v>
      </c>
      <c r="F102" s="32">
        <v>253100</v>
      </c>
      <c r="G102" s="32">
        <v>198750</v>
      </c>
      <c r="H102" s="32">
        <v>262775</v>
      </c>
      <c r="I102" s="32">
        <v>209165</v>
      </c>
      <c r="J102" s="32">
        <v>1618935</v>
      </c>
      <c r="K102" s="25"/>
      <c r="L102" s="25"/>
      <c r="M102" s="25"/>
      <c r="N102" s="25"/>
      <c r="O102" s="25"/>
      <c r="P102" s="25"/>
      <c r="Q102" s="25"/>
      <c r="R102" s="25"/>
      <c r="S102" s="25"/>
      <c r="T102" s="26"/>
    </row>
    <row r="103" spans="2:20" x14ac:dyDescent="0.35">
      <c r="B103" s="24"/>
      <c r="C103" s="31" t="s">
        <v>28</v>
      </c>
      <c r="D103" s="32">
        <v>549700</v>
      </c>
      <c r="E103" s="32">
        <v>537562.5</v>
      </c>
      <c r="F103" s="32">
        <v>541150</v>
      </c>
      <c r="G103" s="32">
        <v>375050</v>
      </c>
      <c r="H103" s="32">
        <v>369762.5</v>
      </c>
      <c r="I103" s="32">
        <v>461875</v>
      </c>
      <c r="J103" s="32">
        <v>2835100</v>
      </c>
      <c r="K103" s="25"/>
      <c r="L103" s="25"/>
      <c r="M103" s="25"/>
      <c r="N103" s="25"/>
      <c r="O103" s="25"/>
      <c r="P103" s="25"/>
      <c r="Q103" s="25"/>
      <c r="R103" s="25"/>
      <c r="S103" s="25"/>
      <c r="T103" s="26"/>
    </row>
    <row r="104" spans="2:20" x14ac:dyDescent="0.35">
      <c r="B104" s="24"/>
      <c r="C104" s="35" t="s">
        <v>132</v>
      </c>
      <c r="D104" s="36">
        <v>2015890</v>
      </c>
      <c r="E104" s="36">
        <v>1725837.5</v>
      </c>
      <c r="F104" s="36">
        <v>1481425</v>
      </c>
      <c r="G104" s="36">
        <v>1031650</v>
      </c>
      <c r="H104" s="36">
        <v>1193637.5</v>
      </c>
      <c r="I104" s="36">
        <v>1235587.5</v>
      </c>
      <c r="J104" s="36">
        <v>8684027.5</v>
      </c>
      <c r="K104" s="25"/>
      <c r="L104" s="25"/>
      <c r="M104" s="25"/>
      <c r="N104" s="25"/>
      <c r="O104" s="25"/>
      <c r="P104" s="25"/>
      <c r="Q104" s="25"/>
      <c r="R104" s="25"/>
      <c r="S104" s="25"/>
      <c r="T104" s="26"/>
    </row>
    <row r="105" spans="2:20" x14ac:dyDescent="0.35">
      <c r="B105" s="24"/>
      <c r="C105" s="25"/>
      <c r="D105" s="25"/>
      <c r="E105" s="25"/>
      <c r="F105" s="25"/>
      <c r="G105" s="25"/>
      <c r="H105" s="25"/>
      <c r="I105" s="25"/>
      <c r="J105" s="25"/>
      <c r="K105" s="25"/>
      <c r="L105" s="25"/>
      <c r="M105" s="25"/>
      <c r="N105" s="25"/>
      <c r="O105" s="25"/>
      <c r="P105" s="25"/>
      <c r="Q105" s="25"/>
      <c r="R105" s="25"/>
      <c r="S105" s="25"/>
      <c r="T105" s="26"/>
    </row>
    <row r="106" spans="2:20" x14ac:dyDescent="0.35">
      <c r="B106" s="24"/>
      <c r="C106" s="25"/>
      <c r="D106" s="25"/>
      <c r="E106" s="25"/>
      <c r="F106" s="25"/>
      <c r="G106" s="25"/>
      <c r="H106" s="25"/>
      <c r="I106" s="25"/>
      <c r="J106" s="25"/>
      <c r="K106" s="25"/>
      <c r="L106" s="25"/>
      <c r="M106" s="25"/>
      <c r="N106" s="25"/>
      <c r="O106" s="25"/>
      <c r="P106" s="25"/>
      <c r="Q106" s="25"/>
      <c r="R106" s="25"/>
      <c r="S106" s="25"/>
      <c r="T106" s="26"/>
    </row>
    <row r="107" spans="2:20" x14ac:dyDescent="0.35">
      <c r="B107" s="24"/>
      <c r="C107" s="25"/>
      <c r="D107" s="25"/>
      <c r="E107" s="25"/>
      <c r="F107" s="25"/>
      <c r="G107" s="25"/>
      <c r="H107" s="25"/>
      <c r="I107" s="25"/>
      <c r="J107" s="25"/>
      <c r="K107" s="25"/>
      <c r="L107" s="25"/>
      <c r="M107" s="25"/>
      <c r="N107" s="25"/>
      <c r="O107" s="25"/>
      <c r="P107" s="25"/>
      <c r="Q107" s="25"/>
      <c r="R107" s="25"/>
      <c r="S107" s="25"/>
      <c r="T107" s="26"/>
    </row>
    <row r="108" spans="2:20" x14ac:dyDescent="0.35">
      <c r="B108" s="24"/>
      <c r="C108" s="25"/>
      <c r="D108" s="25"/>
      <c r="E108" s="25"/>
      <c r="F108" s="25"/>
      <c r="G108" s="25"/>
      <c r="H108" s="25"/>
      <c r="I108" s="25"/>
      <c r="J108" s="25"/>
      <c r="K108" s="25"/>
      <c r="L108" s="25"/>
      <c r="M108" s="25"/>
      <c r="N108" s="25"/>
      <c r="O108" s="25"/>
      <c r="P108" s="25"/>
      <c r="Q108" s="25"/>
      <c r="R108" s="25"/>
      <c r="S108" s="25"/>
      <c r="T108" s="26"/>
    </row>
    <row r="109" spans="2:20" x14ac:dyDescent="0.35">
      <c r="B109" s="24"/>
      <c r="C109" s="25"/>
      <c r="D109" s="25"/>
      <c r="E109" s="25"/>
      <c r="F109" s="25"/>
      <c r="G109" s="25"/>
      <c r="H109" s="25"/>
      <c r="I109" s="25"/>
      <c r="J109" s="25"/>
      <c r="K109" s="25"/>
      <c r="L109" s="25"/>
      <c r="M109" s="25"/>
      <c r="N109" s="25"/>
      <c r="O109" s="25"/>
      <c r="P109" s="25"/>
      <c r="Q109" s="25"/>
      <c r="R109" s="25"/>
      <c r="S109" s="25"/>
      <c r="T109" s="26"/>
    </row>
    <row r="110" spans="2:20" x14ac:dyDescent="0.35">
      <c r="B110" s="24"/>
      <c r="C110" s="25"/>
      <c r="D110" s="25"/>
      <c r="E110" s="25"/>
      <c r="F110" s="25"/>
      <c r="G110" s="25"/>
      <c r="H110" s="25"/>
      <c r="I110" s="25"/>
      <c r="J110" s="25"/>
      <c r="K110" s="25"/>
      <c r="L110" s="25"/>
      <c r="M110" s="25"/>
      <c r="N110" s="25"/>
      <c r="O110" s="25"/>
      <c r="P110" s="25"/>
      <c r="Q110" s="25"/>
      <c r="R110" s="25"/>
      <c r="S110" s="25"/>
      <c r="T110" s="26"/>
    </row>
    <row r="111" spans="2:20" x14ac:dyDescent="0.35">
      <c r="B111" s="24"/>
      <c r="C111" s="25"/>
      <c r="D111" s="25"/>
      <c r="E111" s="25"/>
      <c r="F111" s="25"/>
      <c r="G111" s="25"/>
      <c r="H111" s="25"/>
      <c r="I111" s="25"/>
      <c r="J111" s="25"/>
      <c r="K111" s="25"/>
      <c r="L111" s="25"/>
      <c r="M111" s="25"/>
      <c r="N111" s="25"/>
      <c r="O111" s="25"/>
      <c r="P111" s="25"/>
      <c r="Q111" s="25"/>
      <c r="R111" s="25"/>
      <c r="S111" s="25"/>
      <c r="T111" s="26"/>
    </row>
    <row r="112" spans="2:20" ht="14.5" customHeight="1" x14ac:dyDescent="0.35">
      <c r="B112" s="24"/>
      <c r="C112" s="25"/>
      <c r="D112" s="25"/>
      <c r="E112" s="66" t="s">
        <v>164</v>
      </c>
      <c r="F112" s="76"/>
      <c r="G112" s="76"/>
      <c r="H112" s="76"/>
      <c r="I112" s="76"/>
      <c r="J112" s="76"/>
      <c r="K112" s="76"/>
      <c r="L112" s="76"/>
      <c r="M112" s="76"/>
      <c r="N112" s="76"/>
      <c r="O112" s="76"/>
      <c r="P112" s="67"/>
      <c r="Q112" s="25"/>
      <c r="R112" s="25"/>
      <c r="S112" s="25"/>
      <c r="T112" s="26"/>
    </row>
    <row r="113" spans="2:20" x14ac:dyDescent="0.35">
      <c r="B113" s="24"/>
      <c r="C113" s="25"/>
      <c r="D113" s="25"/>
      <c r="E113" s="68"/>
      <c r="F113" s="65"/>
      <c r="G113" s="65"/>
      <c r="H113" s="65"/>
      <c r="I113" s="65"/>
      <c r="J113" s="65"/>
      <c r="K113" s="65"/>
      <c r="L113" s="65"/>
      <c r="M113" s="65"/>
      <c r="N113" s="65"/>
      <c r="O113" s="65"/>
      <c r="P113" s="69"/>
      <c r="Q113" s="25"/>
      <c r="R113" s="25"/>
      <c r="S113" s="25"/>
      <c r="T113" s="26"/>
    </row>
    <row r="114" spans="2:20" x14ac:dyDescent="0.35">
      <c r="B114" s="24"/>
      <c r="C114" s="25"/>
      <c r="D114" s="25"/>
      <c r="E114" s="68"/>
      <c r="F114" s="65"/>
      <c r="G114" s="65"/>
      <c r="H114" s="65"/>
      <c r="I114" s="65"/>
      <c r="J114" s="65"/>
      <c r="K114" s="65"/>
      <c r="L114" s="65"/>
      <c r="M114" s="65"/>
      <c r="N114" s="65"/>
      <c r="O114" s="65"/>
      <c r="P114" s="69"/>
      <c r="Q114" s="25"/>
      <c r="R114" s="25"/>
      <c r="S114" s="25"/>
      <c r="T114" s="26"/>
    </row>
    <row r="115" spans="2:20" x14ac:dyDescent="0.35">
      <c r="B115" s="24"/>
      <c r="C115" s="25"/>
      <c r="D115" s="25"/>
      <c r="E115" s="68"/>
      <c r="F115" s="65"/>
      <c r="G115" s="65"/>
      <c r="H115" s="65"/>
      <c r="I115" s="65"/>
      <c r="J115" s="65"/>
      <c r="K115" s="65"/>
      <c r="L115" s="65"/>
      <c r="M115" s="65"/>
      <c r="N115" s="65"/>
      <c r="O115" s="65"/>
      <c r="P115" s="69"/>
      <c r="Q115" s="25"/>
      <c r="R115" s="25"/>
      <c r="S115" s="25"/>
      <c r="T115" s="26"/>
    </row>
    <row r="116" spans="2:20" x14ac:dyDescent="0.35">
      <c r="B116" s="24"/>
      <c r="C116" s="25"/>
      <c r="D116" s="25"/>
      <c r="E116" s="68"/>
      <c r="F116" s="65"/>
      <c r="G116" s="65"/>
      <c r="H116" s="65"/>
      <c r="I116" s="65"/>
      <c r="J116" s="65"/>
      <c r="K116" s="65"/>
      <c r="L116" s="65"/>
      <c r="M116" s="65"/>
      <c r="N116" s="65"/>
      <c r="O116" s="65"/>
      <c r="P116" s="69"/>
      <c r="Q116" s="25"/>
      <c r="R116" s="25"/>
      <c r="S116" s="25"/>
      <c r="T116" s="26"/>
    </row>
    <row r="117" spans="2:20" x14ac:dyDescent="0.35">
      <c r="B117" s="24"/>
      <c r="C117" s="25"/>
      <c r="D117" s="25"/>
      <c r="E117" s="68"/>
      <c r="F117" s="65"/>
      <c r="G117" s="65"/>
      <c r="H117" s="65"/>
      <c r="I117" s="65"/>
      <c r="J117" s="65"/>
      <c r="K117" s="65"/>
      <c r="L117" s="65"/>
      <c r="M117" s="65"/>
      <c r="N117" s="65"/>
      <c r="O117" s="65"/>
      <c r="P117" s="69"/>
      <c r="Q117" s="25"/>
      <c r="R117" s="25"/>
      <c r="S117" s="25"/>
      <c r="T117" s="26"/>
    </row>
    <row r="118" spans="2:20" x14ac:dyDescent="0.35">
      <c r="B118" s="24"/>
      <c r="C118" s="25"/>
      <c r="D118" s="25"/>
      <c r="E118" s="68"/>
      <c r="F118" s="65"/>
      <c r="G118" s="65"/>
      <c r="H118" s="65"/>
      <c r="I118" s="65"/>
      <c r="J118" s="65"/>
      <c r="K118" s="65"/>
      <c r="L118" s="65"/>
      <c r="M118" s="65"/>
      <c r="N118" s="65"/>
      <c r="O118" s="65"/>
      <c r="P118" s="69"/>
      <c r="Q118" s="25"/>
      <c r="R118" s="25"/>
      <c r="S118" s="25"/>
      <c r="T118" s="26"/>
    </row>
    <row r="119" spans="2:20" x14ac:dyDescent="0.35">
      <c r="B119" s="24"/>
      <c r="C119" s="25"/>
      <c r="D119" s="25"/>
      <c r="E119" s="70"/>
      <c r="F119" s="77"/>
      <c r="G119" s="77"/>
      <c r="H119" s="77"/>
      <c r="I119" s="77"/>
      <c r="J119" s="77"/>
      <c r="K119" s="77"/>
      <c r="L119" s="77"/>
      <c r="M119" s="77"/>
      <c r="N119" s="77"/>
      <c r="O119" s="77"/>
      <c r="P119" s="71"/>
      <c r="Q119" s="25"/>
      <c r="R119" s="25"/>
      <c r="S119" s="25"/>
      <c r="T119" s="26"/>
    </row>
    <row r="120" spans="2:20" x14ac:dyDescent="0.35">
      <c r="B120" s="27"/>
      <c r="C120" s="28"/>
      <c r="D120" s="28"/>
      <c r="E120" s="95"/>
      <c r="F120" s="95"/>
      <c r="G120" s="95"/>
      <c r="H120" s="95"/>
      <c r="I120" s="95"/>
      <c r="J120" s="95"/>
      <c r="K120" s="95"/>
      <c r="L120" s="95"/>
      <c r="M120" s="95"/>
      <c r="N120" s="95"/>
      <c r="O120" s="95"/>
      <c r="P120" s="95"/>
      <c r="Q120" s="28"/>
      <c r="R120" s="28"/>
      <c r="S120" s="28"/>
      <c r="T120" s="29"/>
    </row>
    <row r="122" spans="2:20" x14ac:dyDescent="0.35">
      <c r="B122" s="21"/>
      <c r="C122" s="22"/>
      <c r="D122" s="22"/>
      <c r="E122" s="22"/>
      <c r="F122" s="22"/>
      <c r="G122" s="22"/>
      <c r="H122" s="22"/>
      <c r="I122" s="22"/>
      <c r="J122" s="22"/>
      <c r="K122" s="22"/>
      <c r="L122" s="22"/>
      <c r="M122" s="22"/>
      <c r="N122" s="22"/>
      <c r="O122" s="22"/>
      <c r="P122" s="22"/>
      <c r="Q122" s="22"/>
      <c r="R122" s="22"/>
      <c r="S122" s="22"/>
      <c r="T122" s="23"/>
    </row>
    <row r="123" spans="2:20" x14ac:dyDescent="0.35">
      <c r="B123" s="24"/>
      <c r="C123" s="25"/>
      <c r="D123" s="25"/>
      <c r="E123" s="72" t="s">
        <v>165</v>
      </c>
      <c r="F123" s="38"/>
      <c r="G123" s="38"/>
      <c r="H123" s="38"/>
      <c r="I123" s="38"/>
      <c r="J123" s="38"/>
      <c r="K123" s="38"/>
      <c r="L123" s="38"/>
      <c r="M123" s="38"/>
      <c r="N123" s="38"/>
      <c r="O123" s="38"/>
      <c r="P123" s="39"/>
      <c r="Q123" s="25"/>
      <c r="R123" s="25"/>
      <c r="S123" s="25"/>
      <c r="T123" s="26"/>
    </row>
    <row r="124" spans="2:20" x14ac:dyDescent="0.35">
      <c r="B124" s="24"/>
      <c r="C124" s="25"/>
      <c r="D124" s="25"/>
      <c r="E124" s="25"/>
      <c r="F124" s="25"/>
      <c r="G124" s="25"/>
      <c r="H124" s="25"/>
      <c r="I124" s="25"/>
      <c r="J124" s="25"/>
      <c r="K124" s="25"/>
      <c r="L124" s="25"/>
      <c r="M124" s="25"/>
      <c r="N124" s="25"/>
      <c r="O124" s="25"/>
      <c r="P124" s="25"/>
      <c r="Q124" s="25"/>
      <c r="R124" s="25"/>
      <c r="S124" s="25"/>
      <c r="T124" s="26"/>
    </row>
    <row r="125" spans="2:20" x14ac:dyDescent="0.35">
      <c r="B125" s="24"/>
      <c r="C125" s="25"/>
      <c r="D125" s="25"/>
      <c r="E125" s="25"/>
      <c r="F125" s="25"/>
      <c r="G125" s="25"/>
      <c r="H125" s="25"/>
      <c r="I125" s="25"/>
      <c r="J125" s="25"/>
      <c r="K125" s="25"/>
      <c r="L125" s="25"/>
      <c r="M125" s="25"/>
      <c r="N125" s="25"/>
      <c r="O125" s="25"/>
      <c r="P125" s="25"/>
      <c r="Q125" s="25"/>
      <c r="R125" s="25"/>
      <c r="S125" s="25"/>
      <c r="T125" s="26"/>
    </row>
    <row r="126" spans="2:20" x14ac:dyDescent="0.35">
      <c r="B126" s="24"/>
      <c r="C126" s="25"/>
      <c r="D126" s="25"/>
      <c r="E126" s="25"/>
      <c r="F126" s="25"/>
      <c r="G126" s="25"/>
      <c r="H126" s="25"/>
      <c r="I126" s="25"/>
      <c r="J126" s="25"/>
      <c r="K126" s="25"/>
      <c r="L126" s="25"/>
      <c r="M126" s="25"/>
      <c r="N126" s="25"/>
      <c r="O126" s="25"/>
      <c r="P126" s="25"/>
      <c r="Q126" s="25"/>
      <c r="R126" s="25"/>
      <c r="S126" s="25"/>
      <c r="T126" s="26"/>
    </row>
    <row r="127" spans="2:20" x14ac:dyDescent="0.35">
      <c r="B127" s="24"/>
      <c r="C127" s="25"/>
      <c r="D127" s="25"/>
      <c r="E127" s="25"/>
      <c r="F127" s="25"/>
      <c r="G127" s="25"/>
      <c r="H127" s="25"/>
      <c r="I127" s="25"/>
      <c r="J127" s="25"/>
      <c r="K127" s="25"/>
      <c r="L127" s="25"/>
      <c r="M127" s="25"/>
      <c r="N127" s="25"/>
      <c r="O127" s="25"/>
      <c r="P127" s="25"/>
      <c r="Q127" s="25"/>
      <c r="R127" s="25"/>
      <c r="S127" s="25"/>
      <c r="T127" s="26"/>
    </row>
    <row r="128" spans="2:20" x14ac:dyDescent="0.35">
      <c r="B128" s="24"/>
      <c r="C128" s="25"/>
      <c r="D128" s="25"/>
      <c r="E128" s="25"/>
      <c r="F128" s="25"/>
      <c r="G128" s="25"/>
      <c r="H128" s="25"/>
      <c r="I128" s="25"/>
      <c r="J128" s="25"/>
      <c r="K128" s="25"/>
      <c r="L128" s="25"/>
      <c r="M128" s="25"/>
      <c r="N128" s="25"/>
      <c r="O128" s="25"/>
      <c r="P128" s="25"/>
      <c r="Q128" s="25"/>
      <c r="R128" s="25"/>
      <c r="S128" s="25"/>
      <c r="T128" s="26"/>
    </row>
    <row r="129" spans="2:20" x14ac:dyDescent="0.35">
      <c r="B129" s="24"/>
      <c r="C129" s="34" t="s">
        <v>146</v>
      </c>
      <c r="D129" s="34" t="s">
        <v>131</v>
      </c>
      <c r="E129" s="34"/>
      <c r="F129" s="34"/>
      <c r="G129" s="34"/>
      <c r="H129" s="34"/>
      <c r="I129" s="25"/>
      <c r="J129" s="25"/>
      <c r="K129" s="25"/>
      <c r="L129" s="25"/>
      <c r="M129" s="25"/>
      <c r="N129" s="25"/>
      <c r="O129" s="25"/>
      <c r="P129" s="25"/>
      <c r="Q129" s="25"/>
      <c r="R129" s="25"/>
      <c r="S129" s="25"/>
      <c r="T129" s="26"/>
    </row>
    <row r="130" spans="2:20" x14ac:dyDescent="0.35">
      <c r="B130" s="24"/>
      <c r="C130" s="34" t="s">
        <v>145</v>
      </c>
      <c r="D130" s="34" t="s">
        <v>23</v>
      </c>
      <c r="E130" s="34" t="s">
        <v>31</v>
      </c>
      <c r="F130" s="34" t="s">
        <v>27</v>
      </c>
      <c r="G130" s="34" t="s">
        <v>14</v>
      </c>
      <c r="H130" s="34" t="s">
        <v>132</v>
      </c>
      <c r="I130" s="25"/>
      <c r="J130" s="25"/>
      <c r="K130" s="25"/>
      <c r="L130" s="25"/>
      <c r="M130" s="25"/>
      <c r="N130" s="25"/>
      <c r="O130" s="25"/>
      <c r="P130" s="25"/>
      <c r="Q130" s="25"/>
      <c r="R130" s="25"/>
      <c r="S130" s="25"/>
      <c r="T130" s="26"/>
    </row>
    <row r="131" spans="2:20" x14ac:dyDescent="0.35">
      <c r="B131" s="24"/>
      <c r="C131" s="31" t="s">
        <v>33</v>
      </c>
      <c r="D131" s="32"/>
      <c r="E131" s="32">
        <v>153762.5</v>
      </c>
      <c r="F131" s="32"/>
      <c r="G131" s="32">
        <v>996347.5</v>
      </c>
      <c r="H131" s="32">
        <v>1150110</v>
      </c>
      <c r="I131" s="25"/>
      <c r="J131" s="25"/>
      <c r="K131" s="25"/>
      <c r="L131" s="25"/>
      <c r="M131" s="25"/>
      <c r="N131" s="25"/>
      <c r="O131" s="25"/>
      <c r="P131" s="25"/>
      <c r="Q131" s="25"/>
      <c r="R131" s="25"/>
      <c r="S131" s="25"/>
      <c r="T131" s="26"/>
    </row>
    <row r="132" spans="2:20" x14ac:dyDescent="0.35">
      <c r="B132" s="24"/>
      <c r="C132" s="31" t="s">
        <v>15</v>
      </c>
      <c r="D132" s="32"/>
      <c r="E132" s="32"/>
      <c r="F132" s="32"/>
      <c r="G132" s="32">
        <v>1788347.5</v>
      </c>
      <c r="H132" s="32">
        <v>1788347.5</v>
      </c>
      <c r="I132" s="25"/>
      <c r="J132" s="25"/>
      <c r="K132" s="25"/>
      <c r="L132" s="25"/>
      <c r="M132" s="25"/>
      <c r="N132" s="25"/>
      <c r="O132" s="25"/>
      <c r="P132" s="25"/>
      <c r="Q132" s="25"/>
      <c r="R132" s="25"/>
      <c r="S132" s="25"/>
      <c r="T132" s="26"/>
    </row>
    <row r="133" spans="2:20" x14ac:dyDescent="0.35">
      <c r="B133" s="24"/>
      <c r="C133" s="31" t="s">
        <v>24</v>
      </c>
      <c r="D133" s="32">
        <v>1291535</v>
      </c>
      <c r="E133" s="32"/>
      <c r="F133" s="32"/>
      <c r="G133" s="32"/>
      <c r="H133" s="32">
        <v>1291535</v>
      </c>
      <c r="I133" s="25"/>
      <c r="J133" s="25"/>
      <c r="K133" s="25"/>
      <c r="L133" s="25"/>
      <c r="M133" s="25"/>
      <c r="N133" s="25"/>
      <c r="O133" s="25"/>
      <c r="P133" s="25"/>
      <c r="Q133" s="25"/>
      <c r="R133" s="25"/>
      <c r="S133" s="25"/>
      <c r="T133" s="26"/>
    </row>
    <row r="134" spans="2:20" x14ac:dyDescent="0.35">
      <c r="B134" s="24"/>
      <c r="C134" s="31" t="s">
        <v>46</v>
      </c>
      <c r="D134" s="32"/>
      <c r="E134" s="32"/>
      <c r="F134" s="32"/>
      <c r="G134" s="32">
        <v>1618935</v>
      </c>
      <c r="H134" s="32">
        <v>1618935</v>
      </c>
      <c r="I134" s="25"/>
      <c r="J134" s="25"/>
      <c r="K134" s="25"/>
      <c r="L134" s="25"/>
      <c r="M134" s="25"/>
      <c r="N134" s="25"/>
      <c r="O134" s="25"/>
      <c r="P134" s="25"/>
      <c r="Q134" s="25"/>
      <c r="R134" s="25"/>
      <c r="S134" s="25"/>
      <c r="T134" s="26"/>
    </row>
    <row r="135" spans="2:20" x14ac:dyDescent="0.35">
      <c r="B135" s="24"/>
      <c r="C135" s="31" t="s">
        <v>28</v>
      </c>
      <c r="D135" s="32"/>
      <c r="E135" s="32">
        <v>250650</v>
      </c>
      <c r="F135" s="32">
        <v>2584450</v>
      </c>
      <c r="G135" s="32"/>
      <c r="H135" s="32">
        <v>2835100</v>
      </c>
      <c r="I135" s="25"/>
      <c r="J135" s="25"/>
      <c r="K135" s="25"/>
      <c r="L135" s="25"/>
      <c r="M135" s="25"/>
      <c r="N135" s="25"/>
      <c r="O135" s="25"/>
      <c r="P135" s="25"/>
      <c r="Q135" s="25"/>
      <c r="R135" s="25"/>
      <c r="S135" s="25"/>
      <c r="T135" s="26"/>
    </row>
    <row r="136" spans="2:20" x14ac:dyDescent="0.35">
      <c r="B136" s="24"/>
      <c r="C136" s="35" t="s">
        <v>132</v>
      </c>
      <c r="D136" s="36">
        <v>1291535</v>
      </c>
      <c r="E136" s="36">
        <v>404412.5</v>
      </c>
      <c r="F136" s="36">
        <v>2584450</v>
      </c>
      <c r="G136" s="36">
        <v>4403630</v>
      </c>
      <c r="H136" s="36">
        <v>8684027.5</v>
      </c>
      <c r="I136" s="25"/>
      <c r="J136" s="25"/>
      <c r="K136" s="25"/>
      <c r="L136" s="25"/>
      <c r="M136" s="25"/>
      <c r="N136" s="25"/>
      <c r="O136" s="25"/>
      <c r="P136" s="25"/>
      <c r="Q136" s="25"/>
      <c r="R136" s="25"/>
      <c r="S136" s="25"/>
      <c r="T136" s="26"/>
    </row>
    <row r="137" spans="2:20" x14ac:dyDescent="0.35">
      <c r="B137" s="24"/>
      <c r="C137" s="25"/>
      <c r="D137" s="25"/>
      <c r="E137" s="25"/>
      <c r="F137" s="25"/>
      <c r="G137" s="25"/>
      <c r="H137" s="25"/>
      <c r="I137" s="25"/>
      <c r="J137" s="25"/>
      <c r="K137" s="25"/>
      <c r="L137" s="25"/>
      <c r="M137" s="25"/>
      <c r="N137" s="25"/>
      <c r="O137" s="25"/>
      <c r="P137" s="25"/>
      <c r="Q137" s="25"/>
      <c r="R137" s="25"/>
      <c r="S137" s="25"/>
      <c r="T137" s="26"/>
    </row>
    <row r="138" spans="2:20" x14ac:dyDescent="0.35">
      <c r="B138" s="24"/>
      <c r="C138" s="25"/>
      <c r="D138" s="25"/>
      <c r="E138" s="25"/>
      <c r="F138" s="25"/>
      <c r="G138" s="25"/>
      <c r="H138" s="25"/>
      <c r="I138" s="25"/>
      <c r="J138" s="25"/>
      <c r="K138" s="25"/>
      <c r="L138" s="25"/>
      <c r="M138" s="25"/>
      <c r="N138" s="25"/>
      <c r="O138" s="25"/>
      <c r="P138" s="25"/>
      <c r="Q138" s="25"/>
      <c r="R138" s="25"/>
      <c r="S138" s="25"/>
      <c r="T138" s="26"/>
    </row>
    <row r="139" spans="2:20" x14ac:dyDescent="0.35">
      <c r="B139" s="24"/>
      <c r="C139" s="25"/>
      <c r="D139" s="25"/>
      <c r="E139" s="25"/>
      <c r="F139" s="25"/>
      <c r="G139" s="25"/>
      <c r="H139" s="25"/>
      <c r="I139" s="25"/>
      <c r="J139" s="25"/>
      <c r="K139" s="25"/>
      <c r="L139" s="25"/>
      <c r="M139" s="25"/>
      <c r="N139" s="25"/>
      <c r="O139" s="25"/>
      <c r="P139" s="25"/>
      <c r="Q139" s="25"/>
      <c r="R139" s="25"/>
      <c r="S139" s="25"/>
      <c r="T139" s="26"/>
    </row>
    <row r="140" spans="2:20" x14ac:dyDescent="0.35">
      <c r="B140" s="24"/>
      <c r="C140" s="25"/>
      <c r="D140" s="25"/>
      <c r="E140" s="25"/>
      <c r="F140" s="25"/>
      <c r="G140" s="25"/>
      <c r="H140" s="25"/>
      <c r="I140" s="25"/>
      <c r="J140" s="25"/>
      <c r="K140" s="25"/>
      <c r="L140" s="25"/>
      <c r="M140" s="25"/>
      <c r="N140" s="25"/>
      <c r="O140" s="25"/>
      <c r="P140" s="25"/>
      <c r="Q140" s="25"/>
      <c r="R140" s="25"/>
      <c r="S140" s="25"/>
      <c r="T140" s="26"/>
    </row>
    <row r="141" spans="2:20" x14ac:dyDescent="0.35">
      <c r="B141" s="24"/>
      <c r="C141" s="25"/>
      <c r="D141" s="25"/>
      <c r="E141" s="25"/>
      <c r="F141" s="25"/>
      <c r="G141" s="25"/>
      <c r="H141" s="25"/>
      <c r="I141" s="25"/>
      <c r="J141" s="25"/>
      <c r="K141" s="25"/>
      <c r="L141" s="25"/>
      <c r="M141" s="25"/>
      <c r="N141" s="25"/>
      <c r="O141" s="25"/>
      <c r="P141" s="25"/>
      <c r="Q141" s="25"/>
      <c r="R141" s="25"/>
      <c r="S141" s="25"/>
      <c r="T141" s="26"/>
    </row>
    <row r="142" spans="2:20" ht="15.5" customHeight="1" x14ac:dyDescent="0.35">
      <c r="B142" s="24"/>
      <c r="C142" s="25"/>
      <c r="D142" s="25"/>
      <c r="E142" s="66" t="s">
        <v>166</v>
      </c>
      <c r="F142" s="76"/>
      <c r="G142" s="76"/>
      <c r="H142" s="76"/>
      <c r="I142" s="76"/>
      <c r="J142" s="76"/>
      <c r="K142" s="76"/>
      <c r="L142" s="76"/>
      <c r="M142" s="76"/>
      <c r="N142" s="76"/>
      <c r="O142" s="76"/>
      <c r="P142" s="67"/>
      <c r="Q142" s="25"/>
      <c r="R142" s="25"/>
      <c r="S142" s="25"/>
      <c r="T142" s="26"/>
    </row>
    <row r="143" spans="2:20" x14ac:dyDescent="0.35">
      <c r="B143" s="24"/>
      <c r="C143" s="25"/>
      <c r="D143" s="25"/>
      <c r="E143" s="68"/>
      <c r="F143" s="65"/>
      <c r="G143" s="65"/>
      <c r="H143" s="65"/>
      <c r="I143" s="65"/>
      <c r="J143" s="65"/>
      <c r="K143" s="65"/>
      <c r="L143" s="65"/>
      <c r="M143" s="65"/>
      <c r="N143" s="65"/>
      <c r="O143" s="65"/>
      <c r="P143" s="69"/>
      <c r="Q143" s="25"/>
      <c r="R143" s="25"/>
      <c r="S143" s="25"/>
      <c r="T143" s="26"/>
    </row>
    <row r="144" spans="2:20" x14ac:dyDescent="0.35">
      <c r="B144" s="24"/>
      <c r="C144" s="25"/>
      <c r="D144" s="25"/>
      <c r="E144" s="68"/>
      <c r="F144" s="65"/>
      <c r="G144" s="65"/>
      <c r="H144" s="65"/>
      <c r="I144" s="65"/>
      <c r="J144" s="65"/>
      <c r="K144" s="65"/>
      <c r="L144" s="65"/>
      <c r="M144" s="65"/>
      <c r="N144" s="65"/>
      <c r="O144" s="65"/>
      <c r="P144" s="69"/>
      <c r="Q144" s="25"/>
      <c r="R144" s="25"/>
      <c r="S144" s="25"/>
      <c r="T144" s="26"/>
    </row>
    <row r="145" spans="2:20" x14ac:dyDescent="0.35">
      <c r="B145" s="24"/>
      <c r="C145" s="25"/>
      <c r="D145" s="25"/>
      <c r="E145" s="68"/>
      <c r="F145" s="65"/>
      <c r="G145" s="65"/>
      <c r="H145" s="65"/>
      <c r="I145" s="65"/>
      <c r="J145" s="65"/>
      <c r="K145" s="65"/>
      <c r="L145" s="65"/>
      <c r="M145" s="65"/>
      <c r="N145" s="65"/>
      <c r="O145" s="65"/>
      <c r="P145" s="69"/>
      <c r="Q145" s="25"/>
      <c r="R145" s="25"/>
      <c r="S145" s="25"/>
      <c r="T145" s="26"/>
    </row>
    <row r="146" spans="2:20" x14ac:dyDescent="0.35">
      <c r="B146" s="24"/>
      <c r="C146" s="25"/>
      <c r="D146" s="25"/>
      <c r="E146" s="68"/>
      <c r="F146" s="65"/>
      <c r="G146" s="65"/>
      <c r="H146" s="65"/>
      <c r="I146" s="65"/>
      <c r="J146" s="65"/>
      <c r="K146" s="65"/>
      <c r="L146" s="65"/>
      <c r="M146" s="65"/>
      <c r="N146" s="65"/>
      <c r="O146" s="65"/>
      <c r="P146" s="69"/>
      <c r="Q146" s="25"/>
      <c r="R146" s="25"/>
      <c r="S146" s="25"/>
      <c r="T146" s="26"/>
    </row>
    <row r="147" spans="2:20" x14ac:dyDescent="0.35">
      <c r="B147" s="24"/>
      <c r="C147" s="25"/>
      <c r="D147" s="25"/>
      <c r="E147" s="68"/>
      <c r="F147" s="65"/>
      <c r="G147" s="65"/>
      <c r="H147" s="65"/>
      <c r="I147" s="65"/>
      <c r="J147" s="65"/>
      <c r="K147" s="65"/>
      <c r="L147" s="65"/>
      <c r="M147" s="65"/>
      <c r="N147" s="65"/>
      <c r="O147" s="65"/>
      <c r="P147" s="69"/>
      <c r="Q147" s="25"/>
      <c r="R147" s="25"/>
      <c r="S147" s="25"/>
      <c r="T147" s="26"/>
    </row>
    <row r="148" spans="2:20" x14ac:dyDescent="0.35">
      <c r="B148" s="24"/>
      <c r="C148" s="25"/>
      <c r="D148" s="25"/>
      <c r="E148" s="68"/>
      <c r="F148" s="65"/>
      <c r="G148" s="65"/>
      <c r="H148" s="65"/>
      <c r="I148" s="65"/>
      <c r="J148" s="65"/>
      <c r="K148" s="65"/>
      <c r="L148" s="65"/>
      <c r="M148" s="65"/>
      <c r="N148" s="65"/>
      <c r="O148" s="65"/>
      <c r="P148" s="69"/>
      <c r="Q148" s="25"/>
      <c r="R148" s="25"/>
      <c r="S148" s="25"/>
      <c r="T148" s="26"/>
    </row>
    <row r="149" spans="2:20" x14ac:dyDescent="0.35">
      <c r="B149" s="24"/>
      <c r="C149" s="25"/>
      <c r="D149" s="25"/>
      <c r="E149" s="68"/>
      <c r="F149" s="65"/>
      <c r="G149" s="65"/>
      <c r="H149" s="65"/>
      <c r="I149" s="65"/>
      <c r="J149" s="65"/>
      <c r="K149" s="65"/>
      <c r="L149" s="65"/>
      <c r="M149" s="65"/>
      <c r="N149" s="65"/>
      <c r="O149" s="65"/>
      <c r="P149" s="69"/>
      <c r="Q149" s="25"/>
      <c r="R149" s="25"/>
      <c r="S149" s="25"/>
      <c r="T149" s="26"/>
    </row>
    <row r="150" spans="2:20" x14ac:dyDescent="0.35">
      <c r="B150" s="24"/>
      <c r="C150" s="25"/>
      <c r="D150" s="25"/>
      <c r="E150" s="70"/>
      <c r="F150" s="77"/>
      <c r="G150" s="77"/>
      <c r="H150" s="77"/>
      <c r="I150" s="77"/>
      <c r="J150" s="77"/>
      <c r="K150" s="77"/>
      <c r="L150" s="77"/>
      <c r="M150" s="77"/>
      <c r="N150" s="77"/>
      <c r="O150" s="77"/>
      <c r="P150" s="71"/>
      <c r="Q150" s="25"/>
      <c r="R150" s="25"/>
      <c r="S150" s="25"/>
      <c r="T150" s="26"/>
    </row>
    <row r="151" spans="2:20" x14ac:dyDescent="0.35">
      <c r="B151" s="27"/>
      <c r="C151" s="28"/>
      <c r="D151" s="28"/>
      <c r="E151" s="28"/>
      <c r="F151" s="28"/>
      <c r="G151" s="28"/>
      <c r="H151" s="28"/>
      <c r="I151" s="28"/>
      <c r="J151" s="28"/>
      <c r="K151" s="28"/>
      <c r="L151" s="28"/>
      <c r="M151" s="28"/>
      <c r="N151" s="28"/>
      <c r="O151" s="28"/>
      <c r="P151" s="28"/>
      <c r="Q151" s="28"/>
      <c r="R151" s="28"/>
      <c r="S151" s="28"/>
      <c r="T151" s="29"/>
    </row>
  </sheetData>
  <mergeCells count="10">
    <mergeCell ref="E123:P123"/>
    <mergeCell ref="E142:P150"/>
    <mergeCell ref="E81:P88"/>
    <mergeCell ref="E92:P92"/>
    <mergeCell ref="E112:P119"/>
    <mergeCell ref="E3:P3"/>
    <mergeCell ref="E22:P29"/>
    <mergeCell ref="E52:P58"/>
    <mergeCell ref="E33:P33"/>
    <mergeCell ref="E62:P62"/>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B739-2663-4AB5-A374-0810577A4912}">
  <dimension ref="B2:S65"/>
  <sheetViews>
    <sheetView showGridLines="0" zoomScale="80" zoomScaleNormal="80" workbookViewId="0"/>
  </sheetViews>
  <sheetFormatPr defaultRowHeight="14.5" x14ac:dyDescent="0.35"/>
  <cols>
    <col min="3" max="3" width="13.36328125" bestFit="1" customWidth="1"/>
    <col min="4" max="4" width="16.36328125" bestFit="1" customWidth="1"/>
    <col min="5" max="5" width="11.08984375" bestFit="1" customWidth="1"/>
    <col min="6" max="6" width="10.54296875" bestFit="1" customWidth="1"/>
    <col min="7" max="7" width="11.08984375" bestFit="1" customWidth="1"/>
    <col min="8" max="8" width="10.54296875" bestFit="1" customWidth="1"/>
    <col min="9" max="9" width="10.7265625" bestFit="1" customWidth="1"/>
    <col min="10" max="13" width="9.54296875" bestFit="1" customWidth="1"/>
    <col min="14" max="14" width="10.54296875" bestFit="1" customWidth="1"/>
    <col min="15" max="15" width="10.7265625" bestFit="1" customWidth="1"/>
    <col min="16" max="19" width="9.54296875" bestFit="1" customWidth="1"/>
    <col min="20" max="20" width="10.54296875" bestFit="1" customWidth="1"/>
    <col min="21" max="21" width="10.7265625" bestFit="1" customWidth="1"/>
    <col min="22" max="25" width="9.54296875" bestFit="1" customWidth="1"/>
    <col min="26" max="26" width="10.54296875" bestFit="1" customWidth="1"/>
    <col min="27" max="27" width="10.7265625" bestFit="1" customWidth="1"/>
    <col min="28" max="31" width="9.54296875" bestFit="1" customWidth="1"/>
    <col min="32" max="32" width="10.54296875" bestFit="1" customWidth="1"/>
    <col min="33" max="33" width="10.7265625" bestFit="1" customWidth="1"/>
    <col min="34" max="37" width="9.54296875" bestFit="1" customWidth="1"/>
    <col min="38" max="38" width="10.54296875" bestFit="1" customWidth="1"/>
    <col min="39" max="40" width="10.7265625" bestFit="1" customWidth="1"/>
    <col min="41" max="41" width="8.6328125" bestFit="1" customWidth="1"/>
    <col min="42" max="42" width="9.54296875" bestFit="1" customWidth="1"/>
    <col min="43" max="43" width="10.26953125" bestFit="1" customWidth="1"/>
    <col min="44" max="44" width="11.08984375" bestFit="1" customWidth="1"/>
    <col min="45" max="45" width="9.54296875" bestFit="1" customWidth="1"/>
    <col min="46" max="46" width="14.08984375" bestFit="1" customWidth="1"/>
    <col min="47" max="47" width="8.6328125" bestFit="1" customWidth="1"/>
    <col min="48" max="48" width="9.54296875" bestFit="1" customWidth="1"/>
    <col min="49" max="49" width="10.453125" bestFit="1" customWidth="1"/>
    <col min="50" max="50" width="10.54296875" bestFit="1" customWidth="1"/>
    <col min="51" max="51" width="10.7265625" bestFit="1" customWidth="1"/>
    <col min="52" max="52" width="13.7265625" bestFit="1" customWidth="1"/>
    <col min="53" max="53" width="8.6328125" bestFit="1" customWidth="1"/>
    <col min="54" max="54" width="9.54296875" bestFit="1" customWidth="1"/>
    <col min="55" max="55" width="10.26953125" bestFit="1" customWidth="1"/>
    <col min="56" max="56" width="11.08984375" bestFit="1" customWidth="1"/>
    <col min="57" max="57" width="9.54296875" bestFit="1" customWidth="1"/>
    <col min="58" max="58" width="14.08984375" bestFit="1" customWidth="1"/>
    <col min="59" max="59" width="8.6328125" bestFit="1" customWidth="1"/>
    <col min="60" max="60" width="9.54296875" bestFit="1" customWidth="1"/>
    <col min="61" max="61" width="10.453125" bestFit="1" customWidth="1"/>
    <col min="62" max="62" width="10.54296875" bestFit="1" customWidth="1"/>
    <col min="63" max="63" width="10.7265625" bestFit="1" customWidth="1"/>
    <col min="64" max="64" width="13.90625" bestFit="1" customWidth="1"/>
    <col min="65" max="65" width="14" bestFit="1" customWidth="1"/>
    <col min="66" max="66" width="9.54296875" bestFit="1" customWidth="1"/>
    <col min="67" max="67" width="17.08984375" bestFit="1" customWidth="1"/>
    <col min="68" max="68" width="10.7265625" bestFit="1" customWidth="1"/>
    <col min="69" max="69" width="9.54296875" bestFit="1" customWidth="1"/>
    <col min="70" max="70" width="13.7265625" bestFit="1" customWidth="1"/>
    <col min="71" max="71" width="8.6328125" bestFit="1" customWidth="1"/>
    <col min="72" max="72" width="9.54296875" bestFit="1" customWidth="1"/>
    <col min="73" max="73" width="10.26953125" bestFit="1" customWidth="1"/>
    <col min="74" max="74" width="11.08984375" bestFit="1" customWidth="1"/>
    <col min="75" max="75" width="9.54296875" bestFit="1" customWidth="1"/>
    <col min="76" max="76" width="14.08984375" bestFit="1" customWidth="1"/>
    <col min="77" max="77" width="8.6328125" bestFit="1" customWidth="1"/>
    <col min="78" max="78" width="9.54296875" bestFit="1" customWidth="1"/>
    <col min="79" max="79" width="10.453125" bestFit="1" customWidth="1"/>
    <col min="80" max="80" width="10.54296875" bestFit="1" customWidth="1"/>
    <col min="81" max="81" width="10.7265625" bestFit="1" customWidth="1"/>
  </cols>
  <sheetData>
    <row r="2" spans="2:19" x14ac:dyDescent="0.35">
      <c r="B2" s="21"/>
      <c r="C2" s="22"/>
      <c r="D2" s="22"/>
      <c r="E2" s="22"/>
      <c r="F2" s="22"/>
      <c r="G2" s="22"/>
      <c r="H2" s="22"/>
      <c r="I2" s="22"/>
      <c r="J2" s="22"/>
      <c r="K2" s="22"/>
      <c r="L2" s="22"/>
      <c r="M2" s="22"/>
      <c r="N2" s="22"/>
      <c r="O2" s="22"/>
      <c r="P2" s="22"/>
      <c r="Q2" s="22"/>
      <c r="R2" s="22"/>
      <c r="S2" s="23"/>
    </row>
    <row r="3" spans="2:19" x14ac:dyDescent="0.35">
      <c r="B3" s="24"/>
      <c r="C3" s="25"/>
      <c r="D3" s="25"/>
      <c r="E3" s="59" t="s">
        <v>167</v>
      </c>
      <c r="F3" s="60"/>
      <c r="G3" s="60"/>
      <c r="H3" s="60"/>
      <c r="I3" s="60"/>
      <c r="J3" s="60"/>
      <c r="K3" s="60"/>
      <c r="L3" s="60"/>
      <c r="M3" s="60"/>
      <c r="N3" s="61"/>
      <c r="O3" s="25"/>
      <c r="P3" s="25"/>
      <c r="Q3" s="25"/>
      <c r="R3" s="25"/>
      <c r="S3" s="26"/>
    </row>
    <row r="4" spans="2:19" x14ac:dyDescent="0.35">
      <c r="B4" s="24"/>
      <c r="C4" s="25"/>
      <c r="D4" s="25"/>
      <c r="E4" s="25"/>
      <c r="F4" s="25"/>
      <c r="G4" s="25"/>
      <c r="H4" s="25"/>
      <c r="I4" s="25"/>
      <c r="J4" s="25"/>
      <c r="K4" s="25"/>
      <c r="L4" s="25"/>
      <c r="M4" s="25"/>
      <c r="N4" s="25"/>
      <c r="O4" s="25"/>
      <c r="P4" s="25"/>
      <c r="Q4" s="25"/>
      <c r="R4" s="25"/>
      <c r="S4" s="26"/>
    </row>
    <row r="5" spans="2:19" x14ac:dyDescent="0.35">
      <c r="B5" s="24"/>
      <c r="C5" s="34" t="s">
        <v>146</v>
      </c>
      <c r="D5" s="34" t="s">
        <v>168</v>
      </c>
      <c r="E5" s="34"/>
      <c r="F5" s="34"/>
      <c r="G5" s="34"/>
      <c r="H5" s="34"/>
      <c r="I5" s="34"/>
      <c r="J5" s="25"/>
      <c r="K5" s="25"/>
      <c r="L5" s="25"/>
      <c r="M5" s="25"/>
      <c r="N5" s="25"/>
      <c r="O5" s="25"/>
      <c r="P5" s="25"/>
      <c r="Q5" s="25"/>
      <c r="R5" s="25"/>
      <c r="S5" s="26"/>
    </row>
    <row r="6" spans="2:19" x14ac:dyDescent="0.35">
      <c r="B6" s="24"/>
      <c r="C6" s="34"/>
      <c r="D6" s="34" t="s">
        <v>33</v>
      </c>
      <c r="E6" s="34" t="s">
        <v>15</v>
      </c>
      <c r="F6" s="34" t="s">
        <v>24</v>
      </c>
      <c r="G6" s="34" t="s">
        <v>46</v>
      </c>
      <c r="H6" s="34" t="s">
        <v>28</v>
      </c>
      <c r="I6" s="34" t="s">
        <v>132</v>
      </c>
      <c r="J6" s="25"/>
      <c r="K6" s="25"/>
      <c r="L6" s="25"/>
      <c r="M6" s="25"/>
      <c r="N6" s="25"/>
      <c r="O6" s="25"/>
      <c r="P6" s="25"/>
      <c r="Q6" s="25"/>
      <c r="R6" s="25"/>
      <c r="S6" s="26"/>
    </row>
    <row r="7" spans="2:19" x14ac:dyDescent="0.35">
      <c r="B7" s="24"/>
      <c r="C7" s="30" t="s">
        <v>149</v>
      </c>
      <c r="D7" s="30"/>
      <c r="E7" s="30"/>
      <c r="F7" s="30"/>
      <c r="G7" s="30"/>
      <c r="H7" s="30"/>
      <c r="I7" s="30"/>
      <c r="J7" s="25"/>
      <c r="K7" s="25"/>
      <c r="L7" s="25"/>
      <c r="M7" s="25"/>
      <c r="N7" s="25"/>
      <c r="O7" s="25"/>
      <c r="P7" s="25"/>
      <c r="Q7" s="25"/>
      <c r="R7" s="25"/>
      <c r="S7" s="26"/>
    </row>
    <row r="8" spans="2:19" x14ac:dyDescent="0.35">
      <c r="B8" s="24"/>
      <c r="C8" s="31" t="s">
        <v>133</v>
      </c>
      <c r="D8" s="32">
        <v>80087.5</v>
      </c>
      <c r="E8" s="32">
        <v>115737.5</v>
      </c>
      <c r="F8" s="32">
        <v>70662.5</v>
      </c>
      <c r="G8" s="32">
        <v>104750</v>
      </c>
      <c r="H8" s="32">
        <v>139512.5</v>
      </c>
      <c r="I8" s="32">
        <v>510750</v>
      </c>
      <c r="J8" s="25"/>
      <c r="K8" s="25"/>
      <c r="L8" s="25"/>
      <c r="M8" s="25"/>
      <c r="N8" s="25"/>
      <c r="O8" s="25"/>
      <c r="P8" s="25"/>
      <c r="Q8" s="25"/>
      <c r="R8" s="25"/>
      <c r="S8" s="26"/>
    </row>
    <row r="9" spans="2:19" x14ac:dyDescent="0.35">
      <c r="B9" s="24"/>
      <c r="C9" s="31" t="s">
        <v>134</v>
      </c>
      <c r="D9" s="32">
        <v>73762.5</v>
      </c>
      <c r="E9" s="32">
        <v>112650</v>
      </c>
      <c r="F9" s="32">
        <v>66475</v>
      </c>
      <c r="G9" s="32">
        <v>99500</v>
      </c>
      <c r="H9" s="32">
        <v>132587.5</v>
      </c>
      <c r="I9" s="32">
        <v>484975</v>
      </c>
      <c r="J9" s="25"/>
      <c r="K9" s="25"/>
      <c r="L9" s="25"/>
      <c r="M9" s="25"/>
      <c r="N9" s="25"/>
      <c r="O9" s="25"/>
      <c r="P9" s="25"/>
      <c r="Q9" s="25"/>
      <c r="R9" s="25"/>
      <c r="S9" s="26"/>
    </row>
    <row r="10" spans="2:19" x14ac:dyDescent="0.35">
      <c r="B10" s="24"/>
      <c r="C10" s="31" t="s">
        <v>135</v>
      </c>
      <c r="D10" s="32">
        <v>68072.5</v>
      </c>
      <c r="E10" s="32">
        <v>104985</v>
      </c>
      <c r="F10" s="32">
        <v>65845</v>
      </c>
      <c r="G10" s="32">
        <v>86102.5</v>
      </c>
      <c r="H10" s="32">
        <v>158525</v>
      </c>
      <c r="I10" s="32">
        <v>483530</v>
      </c>
      <c r="J10" s="25"/>
      <c r="K10" s="25"/>
      <c r="L10" s="25"/>
      <c r="M10" s="25"/>
      <c r="N10" s="25"/>
      <c r="O10" s="25"/>
      <c r="P10" s="25"/>
      <c r="Q10" s="25"/>
      <c r="R10" s="25"/>
      <c r="S10" s="26"/>
    </row>
    <row r="11" spans="2:19" x14ac:dyDescent="0.35">
      <c r="B11" s="24"/>
      <c r="C11" s="31" t="s">
        <v>136</v>
      </c>
      <c r="D11" s="32">
        <v>65762.5</v>
      </c>
      <c r="E11" s="32">
        <v>101175</v>
      </c>
      <c r="F11" s="32">
        <v>60662.5</v>
      </c>
      <c r="G11" s="32">
        <v>88525</v>
      </c>
      <c r="H11" s="32">
        <v>178762.5</v>
      </c>
      <c r="I11" s="32">
        <v>494887.5</v>
      </c>
      <c r="J11" s="25"/>
      <c r="K11" s="25"/>
      <c r="L11" s="25"/>
      <c r="M11" s="25"/>
      <c r="N11" s="25"/>
      <c r="O11" s="25"/>
      <c r="P11" s="25"/>
      <c r="Q11" s="25"/>
      <c r="R11" s="25"/>
      <c r="S11" s="26"/>
    </row>
    <row r="12" spans="2:19" x14ac:dyDescent="0.35">
      <c r="B12" s="24"/>
      <c r="C12" s="31" t="s">
        <v>137</v>
      </c>
      <c r="D12" s="32">
        <v>97392.5</v>
      </c>
      <c r="E12" s="32">
        <v>154247.5</v>
      </c>
      <c r="F12" s="32">
        <v>89965</v>
      </c>
      <c r="G12" s="32">
        <v>133555</v>
      </c>
      <c r="H12" s="32">
        <v>198412.5</v>
      </c>
      <c r="I12" s="32">
        <v>673572.5</v>
      </c>
      <c r="J12" s="25"/>
      <c r="K12" s="25"/>
      <c r="L12" s="25"/>
      <c r="M12" s="25"/>
      <c r="N12" s="25"/>
      <c r="O12" s="25"/>
      <c r="P12" s="25"/>
      <c r="Q12" s="25"/>
      <c r="R12" s="25"/>
      <c r="S12" s="26"/>
    </row>
    <row r="13" spans="2:19" x14ac:dyDescent="0.35">
      <c r="B13" s="24"/>
      <c r="C13" s="31" t="s">
        <v>138</v>
      </c>
      <c r="D13" s="32">
        <v>101637.5</v>
      </c>
      <c r="E13" s="32">
        <v>176437.5</v>
      </c>
      <c r="F13" s="32">
        <v>134537.5</v>
      </c>
      <c r="G13" s="32">
        <v>162687.5</v>
      </c>
      <c r="H13" s="32">
        <v>328537.5</v>
      </c>
      <c r="I13" s="32">
        <v>903837.5</v>
      </c>
      <c r="J13" s="25"/>
      <c r="K13" s="25"/>
      <c r="L13" s="25"/>
      <c r="M13" s="25"/>
      <c r="N13" s="25"/>
      <c r="O13" s="25"/>
      <c r="P13" s="25"/>
      <c r="Q13" s="25"/>
      <c r="R13" s="25"/>
      <c r="S13" s="26"/>
    </row>
    <row r="14" spans="2:19" x14ac:dyDescent="0.35">
      <c r="B14" s="24"/>
      <c r="C14" s="31" t="s">
        <v>139</v>
      </c>
      <c r="D14" s="32">
        <v>131387.5</v>
      </c>
      <c r="E14" s="32">
        <v>187900</v>
      </c>
      <c r="F14" s="32">
        <v>157912.5</v>
      </c>
      <c r="G14" s="32">
        <v>191425</v>
      </c>
      <c r="H14" s="32">
        <v>372812.5</v>
      </c>
      <c r="I14" s="32">
        <v>1041437.5</v>
      </c>
      <c r="J14" s="25"/>
      <c r="K14" s="25"/>
      <c r="L14" s="25"/>
      <c r="M14" s="25"/>
      <c r="N14" s="25"/>
      <c r="O14" s="25"/>
      <c r="P14" s="25"/>
      <c r="Q14" s="25"/>
      <c r="R14" s="25"/>
      <c r="S14" s="26"/>
    </row>
    <row r="15" spans="2:19" x14ac:dyDescent="0.35">
      <c r="B15" s="24"/>
      <c r="C15" s="31" t="s">
        <v>140</v>
      </c>
      <c r="D15" s="32">
        <v>120312.5</v>
      </c>
      <c r="E15" s="32">
        <v>173362.5</v>
      </c>
      <c r="F15" s="32">
        <v>152275</v>
      </c>
      <c r="G15" s="32">
        <v>170700</v>
      </c>
      <c r="H15" s="32">
        <v>328625</v>
      </c>
      <c r="I15" s="32">
        <v>945275</v>
      </c>
      <c r="J15" s="25"/>
      <c r="K15" s="25"/>
      <c r="L15" s="25"/>
      <c r="M15" s="25"/>
      <c r="N15" s="25"/>
      <c r="O15" s="25"/>
      <c r="P15" s="25"/>
      <c r="Q15" s="25"/>
      <c r="R15" s="25"/>
      <c r="S15" s="26"/>
    </row>
    <row r="16" spans="2:19" x14ac:dyDescent="0.35">
      <c r="B16" s="24"/>
      <c r="C16" s="31" t="s">
        <v>141</v>
      </c>
      <c r="D16" s="32">
        <v>81087.5</v>
      </c>
      <c r="E16" s="32">
        <v>142037.5</v>
      </c>
      <c r="F16" s="32">
        <v>117225</v>
      </c>
      <c r="G16" s="32">
        <v>124537.5</v>
      </c>
      <c r="H16" s="32">
        <v>216112.5</v>
      </c>
      <c r="I16" s="32">
        <v>681000</v>
      </c>
      <c r="J16" s="25"/>
      <c r="K16" s="25"/>
      <c r="L16" s="25"/>
      <c r="M16" s="25"/>
      <c r="N16" s="25"/>
      <c r="O16" s="25"/>
      <c r="P16" s="25"/>
      <c r="Q16" s="25"/>
      <c r="R16" s="25"/>
      <c r="S16" s="26"/>
    </row>
    <row r="17" spans="2:19" x14ac:dyDescent="0.35">
      <c r="B17" s="24"/>
      <c r="C17" s="31" t="s">
        <v>142</v>
      </c>
      <c r="D17" s="32">
        <v>82800</v>
      </c>
      <c r="E17" s="32">
        <v>143887.5</v>
      </c>
      <c r="F17" s="32">
        <v>81687.5</v>
      </c>
      <c r="G17" s="32">
        <v>119525</v>
      </c>
      <c r="H17" s="32">
        <v>195475</v>
      </c>
      <c r="I17" s="32">
        <v>623375</v>
      </c>
      <c r="J17" s="25"/>
      <c r="K17" s="25"/>
      <c r="L17" s="25"/>
      <c r="M17" s="25"/>
      <c r="N17" s="25"/>
      <c r="O17" s="25"/>
      <c r="P17" s="25"/>
      <c r="Q17" s="25"/>
      <c r="R17" s="25"/>
      <c r="S17" s="26"/>
    </row>
    <row r="18" spans="2:19" x14ac:dyDescent="0.35">
      <c r="B18" s="24"/>
      <c r="C18" s="31" t="s">
        <v>143</v>
      </c>
      <c r="D18" s="32">
        <v>102420</v>
      </c>
      <c r="E18" s="32">
        <v>173315</v>
      </c>
      <c r="F18" s="32">
        <v>118800</v>
      </c>
      <c r="G18" s="32">
        <v>146152.5</v>
      </c>
      <c r="H18" s="32">
        <v>254925</v>
      </c>
      <c r="I18" s="32">
        <v>795612.5</v>
      </c>
      <c r="J18" s="25"/>
      <c r="K18" s="25"/>
      <c r="L18" s="25"/>
      <c r="M18" s="25"/>
      <c r="N18" s="25"/>
      <c r="O18" s="25"/>
      <c r="P18" s="25"/>
      <c r="Q18" s="25"/>
      <c r="R18" s="25"/>
      <c r="S18" s="26"/>
    </row>
    <row r="19" spans="2:19" x14ac:dyDescent="0.35">
      <c r="B19" s="24"/>
      <c r="C19" s="31" t="s">
        <v>144</v>
      </c>
      <c r="D19" s="32">
        <v>145387.5</v>
      </c>
      <c r="E19" s="32">
        <v>202612.5</v>
      </c>
      <c r="F19" s="32">
        <v>175487.5</v>
      </c>
      <c r="G19" s="32">
        <v>191475</v>
      </c>
      <c r="H19" s="32">
        <v>330812.5</v>
      </c>
      <c r="I19" s="32">
        <v>1045775</v>
      </c>
      <c r="J19" s="25"/>
      <c r="K19" s="25"/>
      <c r="L19" s="25"/>
      <c r="M19" s="25"/>
      <c r="N19" s="25"/>
      <c r="O19" s="25"/>
      <c r="P19" s="25"/>
      <c r="Q19" s="25"/>
      <c r="R19" s="25"/>
      <c r="S19" s="26"/>
    </row>
    <row r="20" spans="2:19" x14ac:dyDescent="0.35">
      <c r="B20" s="24"/>
      <c r="C20" s="35" t="s">
        <v>132</v>
      </c>
      <c r="D20" s="36">
        <v>1150110</v>
      </c>
      <c r="E20" s="36">
        <v>1788347.5</v>
      </c>
      <c r="F20" s="36">
        <v>1291535</v>
      </c>
      <c r="G20" s="36">
        <v>1618935</v>
      </c>
      <c r="H20" s="36">
        <v>2835100</v>
      </c>
      <c r="I20" s="36">
        <v>8684027.5</v>
      </c>
      <c r="J20" s="25"/>
      <c r="K20" s="25"/>
      <c r="L20" s="25"/>
      <c r="M20" s="25"/>
      <c r="N20" s="25"/>
      <c r="O20" s="25"/>
      <c r="P20" s="25"/>
      <c r="Q20" s="25"/>
      <c r="R20" s="25"/>
      <c r="S20" s="26"/>
    </row>
    <row r="21" spans="2:19" x14ac:dyDescent="0.35">
      <c r="B21" s="24"/>
      <c r="C21" s="25"/>
      <c r="D21" s="25"/>
      <c r="E21" s="25"/>
      <c r="F21" s="25"/>
      <c r="G21" s="25"/>
      <c r="H21" s="25"/>
      <c r="I21" s="25"/>
      <c r="J21" s="25"/>
      <c r="K21" s="25"/>
      <c r="L21" s="25"/>
      <c r="M21" s="25"/>
      <c r="N21" s="25"/>
      <c r="O21" s="25"/>
      <c r="P21" s="25"/>
      <c r="Q21" s="25"/>
      <c r="R21" s="25"/>
      <c r="S21" s="26"/>
    </row>
    <row r="22" spans="2:19" x14ac:dyDescent="0.35">
      <c r="B22" s="24"/>
      <c r="C22" s="25"/>
      <c r="D22" s="25"/>
      <c r="E22" s="25"/>
      <c r="F22" s="25"/>
      <c r="G22" s="25"/>
      <c r="H22" s="25"/>
      <c r="I22" s="25"/>
      <c r="J22" s="25"/>
      <c r="K22" s="25"/>
      <c r="L22" s="25"/>
      <c r="M22" s="25"/>
      <c r="N22" s="25"/>
      <c r="O22" s="25"/>
      <c r="P22" s="25"/>
      <c r="Q22" s="25"/>
      <c r="R22" s="25"/>
      <c r="S22" s="26"/>
    </row>
    <row r="23" spans="2:19" x14ac:dyDescent="0.35">
      <c r="B23" s="24"/>
      <c r="C23" s="25"/>
      <c r="D23" s="25"/>
      <c r="E23" s="66" t="s">
        <v>169</v>
      </c>
      <c r="F23" s="78"/>
      <c r="G23" s="78"/>
      <c r="H23" s="78"/>
      <c r="I23" s="78"/>
      <c r="J23" s="78"/>
      <c r="K23" s="78"/>
      <c r="L23" s="78"/>
      <c r="M23" s="78"/>
      <c r="N23" s="79"/>
      <c r="O23" s="25"/>
      <c r="P23" s="25"/>
      <c r="Q23" s="25"/>
      <c r="R23" s="25"/>
      <c r="S23" s="26"/>
    </row>
    <row r="24" spans="2:19" x14ac:dyDescent="0.35">
      <c r="B24" s="24"/>
      <c r="C24" s="25"/>
      <c r="D24" s="25"/>
      <c r="E24" s="80"/>
      <c r="F24" s="75"/>
      <c r="G24" s="75"/>
      <c r="H24" s="75"/>
      <c r="I24" s="75"/>
      <c r="J24" s="75"/>
      <c r="K24" s="75"/>
      <c r="L24" s="75"/>
      <c r="M24" s="75"/>
      <c r="N24" s="81"/>
      <c r="O24" s="25"/>
      <c r="P24" s="25"/>
      <c r="Q24" s="25"/>
      <c r="R24" s="25"/>
      <c r="S24" s="26"/>
    </row>
    <row r="25" spans="2:19" x14ac:dyDescent="0.35">
      <c r="B25" s="24"/>
      <c r="C25" s="25"/>
      <c r="D25" s="25"/>
      <c r="E25" s="80"/>
      <c r="F25" s="75"/>
      <c r="G25" s="75"/>
      <c r="H25" s="75"/>
      <c r="I25" s="75"/>
      <c r="J25" s="75"/>
      <c r="K25" s="75"/>
      <c r="L25" s="75"/>
      <c r="M25" s="75"/>
      <c r="N25" s="81"/>
      <c r="O25" s="25"/>
      <c r="P25" s="25"/>
      <c r="Q25" s="25"/>
      <c r="R25" s="25"/>
      <c r="S25" s="26"/>
    </row>
    <row r="26" spans="2:19" x14ac:dyDescent="0.35">
      <c r="B26" s="24"/>
      <c r="C26" s="25"/>
      <c r="D26" s="25"/>
      <c r="E26" s="80"/>
      <c r="F26" s="75"/>
      <c r="G26" s="75"/>
      <c r="H26" s="75"/>
      <c r="I26" s="75"/>
      <c r="J26" s="75"/>
      <c r="K26" s="75"/>
      <c r="L26" s="75"/>
      <c r="M26" s="75"/>
      <c r="N26" s="81"/>
      <c r="O26" s="25"/>
      <c r="P26" s="25"/>
      <c r="Q26" s="25"/>
      <c r="R26" s="25"/>
      <c r="S26" s="26"/>
    </row>
    <row r="27" spans="2:19" x14ac:dyDescent="0.35">
      <c r="B27" s="24"/>
      <c r="C27" s="25"/>
      <c r="D27" s="25"/>
      <c r="E27" s="80"/>
      <c r="F27" s="75"/>
      <c r="G27" s="75"/>
      <c r="H27" s="75"/>
      <c r="I27" s="75"/>
      <c r="J27" s="75"/>
      <c r="K27" s="75"/>
      <c r="L27" s="75"/>
      <c r="M27" s="75"/>
      <c r="N27" s="81"/>
      <c r="O27" s="25"/>
      <c r="P27" s="25"/>
      <c r="Q27" s="25"/>
      <c r="R27" s="25"/>
      <c r="S27" s="26"/>
    </row>
    <row r="28" spans="2:19" x14ac:dyDescent="0.35">
      <c r="B28" s="24"/>
      <c r="C28" s="25"/>
      <c r="D28" s="25"/>
      <c r="E28" s="80"/>
      <c r="F28" s="75"/>
      <c r="G28" s="75"/>
      <c r="H28" s="75"/>
      <c r="I28" s="75"/>
      <c r="J28" s="75"/>
      <c r="K28" s="75"/>
      <c r="L28" s="75"/>
      <c r="M28" s="75"/>
      <c r="N28" s="81"/>
      <c r="O28" s="25"/>
      <c r="P28" s="25"/>
      <c r="Q28" s="25"/>
      <c r="R28" s="25"/>
      <c r="S28" s="26"/>
    </row>
    <row r="29" spans="2:19" x14ac:dyDescent="0.35">
      <c r="B29" s="24"/>
      <c r="C29" s="25"/>
      <c r="D29" s="25"/>
      <c r="E29" s="80"/>
      <c r="F29" s="75"/>
      <c r="G29" s="75"/>
      <c r="H29" s="75"/>
      <c r="I29" s="75"/>
      <c r="J29" s="75"/>
      <c r="K29" s="75"/>
      <c r="L29" s="75"/>
      <c r="M29" s="75"/>
      <c r="N29" s="81"/>
      <c r="O29" s="25"/>
      <c r="P29" s="25"/>
      <c r="Q29" s="25"/>
      <c r="R29" s="25"/>
      <c r="S29" s="26"/>
    </row>
    <row r="30" spans="2:19" x14ac:dyDescent="0.35">
      <c r="B30" s="24"/>
      <c r="C30" s="25"/>
      <c r="D30" s="25"/>
      <c r="E30" s="80"/>
      <c r="F30" s="75"/>
      <c r="G30" s="75"/>
      <c r="H30" s="75"/>
      <c r="I30" s="75"/>
      <c r="J30" s="75"/>
      <c r="K30" s="75"/>
      <c r="L30" s="75"/>
      <c r="M30" s="75"/>
      <c r="N30" s="81"/>
      <c r="O30" s="25"/>
      <c r="P30" s="25"/>
      <c r="Q30" s="25"/>
      <c r="R30" s="25"/>
      <c r="S30" s="26"/>
    </row>
    <row r="31" spans="2:19" x14ac:dyDescent="0.35">
      <c r="B31" s="24"/>
      <c r="C31" s="25"/>
      <c r="D31" s="25"/>
      <c r="E31" s="80"/>
      <c r="F31" s="75"/>
      <c r="G31" s="75"/>
      <c r="H31" s="75"/>
      <c r="I31" s="75"/>
      <c r="J31" s="75"/>
      <c r="K31" s="75"/>
      <c r="L31" s="75"/>
      <c r="M31" s="75"/>
      <c r="N31" s="81"/>
      <c r="O31" s="25"/>
      <c r="P31" s="25"/>
      <c r="Q31" s="25"/>
      <c r="R31" s="25"/>
      <c r="S31" s="26"/>
    </row>
    <row r="32" spans="2:19" x14ac:dyDescent="0.35">
      <c r="B32" s="24"/>
      <c r="C32" s="25"/>
      <c r="D32" s="25"/>
      <c r="E32" s="82"/>
      <c r="F32" s="83"/>
      <c r="G32" s="83"/>
      <c r="H32" s="83"/>
      <c r="I32" s="83"/>
      <c r="J32" s="83"/>
      <c r="K32" s="83"/>
      <c r="L32" s="83"/>
      <c r="M32" s="83"/>
      <c r="N32" s="84"/>
      <c r="O32" s="25"/>
      <c r="P32" s="25"/>
      <c r="Q32" s="25"/>
      <c r="R32" s="25"/>
      <c r="S32" s="26"/>
    </row>
    <row r="33" spans="2:19" x14ac:dyDescent="0.35">
      <c r="B33" s="24"/>
      <c r="C33" s="25"/>
      <c r="D33" s="25"/>
      <c r="E33" s="25"/>
      <c r="F33" s="25"/>
      <c r="G33" s="25"/>
      <c r="H33" s="25"/>
      <c r="I33" s="25"/>
      <c r="J33" s="25"/>
      <c r="K33" s="25"/>
      <c r="L33" s="25"/>
      <c r="M33" s="25"/>
      <c r="N33" s="25"/>
      <c r="O33" s="25"/>
      <c r="P33" s="25"/>
      <c r="Q33" s="25"/>
      <c r="R33" s="25"/>
      <c r="S33" s="26"/>
    </row>
    <row r="34" spans="2:19" x14ac:dyDescent="0.35">
      <c r="B34" s="27"/>
      <c r="C34" s="28"/>
      <c r="D34" s="28"/>
      <c r="E34" s="28"/>
      <c r="F34" s="28"/>
      <c r="G34" s="28"/>
      <c r="H34" s="28"/>
      <c r="I34" s="28"/>
      <c r="J34" s="28"/>
      <c r="K34" s="28"/>
      <c r="L34" s="28"/>
      <c r="M34" s="28"/>
      <c r="N34" s="28"/>
      <c r="O34" s="28"/>
      <c r="P34" s="28"/>
      <c r="Q34" s="28"/>
      <c r="R34" s="28"/>
      <c r="S34" s="29"/>
    </row>
    <row r="36" spans="2:19" x14ac:dyDescent="0.35">
      <c r="B36" s="21"/>
      <c r="C36" s="22"/>
      <c r="D36" s="22"/>
      <c r="E36" s="22"/>
      <c r="F36" s="22"/>
      <c r="G36" s="22"/>
      <c r="H36" s="22"/>
      <c r="I36" s="22"/>
      <c r="J36" s="22"/>
      <c r="K36" s="22"/>
      <c r="L36" s="22"/>
      <c r="M36" s="22"/>
      <c r="N36" s="22"/>
      <c r="O36" s="22"/>
      <c r="P36" s="22"/>
      <c r="Q36" s="22"/>
      <c r="R36" s="22"/>
      <c r="S36" s="23"/>
    </row>
    <row r="37" spans="2:19" x14ac:dyDescent="0.35">
      <c r="B37" s="24"/>
      <c r="C37" s="25"/>
      <c r="D37" s="25"/>
      <c r="E37" s="97" t="s">
        <v>170</v>
      </c>
      <c r="F37" s="20"/>
      <c r="G37" s="20"/>
      <c r="H37" s="20"/>
      <c r="I37" s="20"/>
      <c r="J37" s="20"/>
      <c r="K37" s="20"/>
      <c r="L37" s="20"/>
      <c r="M37" s="20"/>
      <c r="N37" s="20"/>
      <c r="O37" s="25"/>
      <c r="P37" s="25"/>
      <c r="Q37" s="25"/>
      <c r="R37" s="25"/>
      <c r="S37" s="26"/>
    </row>
    <row r="38" spans="2:19" x14ac:dyDescent="0.35">
      <c r="B38" s="24"/>
      <c r="C38" s="25"/>
      <c r="D38" s="25"/>
      <c r="E38" s="25"/>
      <c r="F38" s="25"/>
      <c r="G38" s="25"/>
      <c r="H38" s="25"/>
      <c r="I38" s="25"/>
      <c r="J38" s="25"/>
      <c r="K38" s="25"/>
      <c r="L38" s="25"/>
      <c r="M38" s="25"/>
      <c r="N38" s="25"/>
      <c r="O38" s="25"/>
      <c r="P38" s="25"/>
      <c r="Q38" s="25"/>
      <c r="R38" s="25"/>
      <c r="S38" s="26"/>
    </row>
    <row r="39" spans="2:19" x14ac:dyDescent="0.35">
      <c r="B39" s="24"/>
      <c r="C39" s="25"/>
      <c r="D39" s="25"/>
      <c r="E39" s="25"/>
      <c r="F39" s="25"/>
      <c r="G39" s="25"/>
      <c r="H39" s="25"/>
      <c r="I39" s="25"/>
      <c r="J39" s="25"/>
      <c r="K39" s="25"/>
      <c r="L39" s="25"/>
      <c r="M39" s="25"/>
      <c r="N39" s="25"/>
      <c r="O39" s="25"/>
      <c r="P39" s="25"/>
      <c r="Q39" s="25"/>
      <c r="R39" s="25"/>
      <c r="S39" s="26"/>
    </row>
    <row r="40" spans="2:19" x14ac:dyDescent="0.35">
      <c r="B40" s="24"/>
      <c r="C40" s="25"/>
      <c r="D40" s="25"/>
      <c r="E40" s="25"/>
      <c r="F40" s="25"/>
      <c r="G40" s="25"/>
      <c r="H40" s="25"/>
      <c r="I40" s="25"/>
      <c r="J40" s="25"/>
      <c r="K40" s="25"/>
      <c r="L40" s="25"/>
      <c r="M40" s="25"/>
      <c r="N40" s="25"/>
      <c r="O40" s="25"/>
      <c r="P40" s="25"/>
      <c r="Q40" s="25"/>
      <c r="R40" s="25"/>
      <c r="S40" s="26"/>
    </row>
    <row r="41" spans="2:19" x14ac:dyDescent="0.35">
      <c r="B41" s="24"/>
      <c r="C41" s="25"/>
      <c r="D41" s="25"/>
      <c r="E41" s="25"/>
      <c r="F41" s="34" t="s">
        <v>145</v>
      </c>
      <c r="G41" s="34" t="s">
        <v>147</v>
      </c>
      <c r="H41" s="25"/>
      <c r="I41" s="25"/>
      <c r="J41" s="25"/>
      <c r="K41" s="25"/>
      <c r="L41" s="25"/>
      <c r="M41" s="25"/>
      <c r="N41" s="25"/>
      <c r="O41" s="25"/>
      <c r="P41" s="25"/>
      <c r="Q41" s="25"/>
      <c r="R41" s="25"/>
      <c r="S41" s="26"/>
    </row>
    <row r="42" spans="2:19" x14ac:dyDescent="0.35">
      <c r="B42" s="24"/>
      <c r="C42" s="25"/>
      <c r="D42" s="25"/>
      <c r="E42" s="25"/>
      <c r="F42" s="31" t="s">
        <v>23</v>
      </c>
      <c r="G42" s="33">
        <v>3064800</v>
      </c>
      <c r="H42" s="25"/>
      <c r="I42" s="25"/>
      <c r="J42" s="25"/>
      <c r="K42" s="25"/>
      <c r="L42" s="25"/>
      <c r="M42" s="25"/>
      <c r="N42" s="25"/>
      <c r="O42" s="25"/>
      <c r="P42" s="25"/>
      <c r="Q42" s="25"/>
      <c r="R42" s="25"/>
      <c r="S42" s="26"/>
    </row>
    <row r="43" spans="2:19" x14ac:dyDescent="0.35">
      <c r="B43" s="24"/>
      <c r="C43" s="25"/>
      <c r="D43" s="25"/>
      <c r="E43" s="25"/>
      <c r="F43" s="31" t="s">
        <v>31</v>
      </c>
      <c r="G43" s="33">
        <v>820500</v>
      </c>
      <c r="H43" s="25"/>
      <c r="I43" s="25"/>
      <c r="J43" s="25"/>
      <c r="K43" s="25"/>
      <c r="L43" s="25"/>
      <c r="M43" s="25"/>
      <c r="N43" s="25"/>
      <c r="O43" s="25"/>
      <c r="P43" s="25"/>
      <c r="Q43" s="25"/>
      <c r="R43" s="25"/>
      <c r="S43" s="26"/>
    </row>
    <row r="44" spans="2:19" x14ac:dyDescent="0.35">
      <c r="B44" s="24"/>
      <c r="C44" s="25"/>
      <c r="D44" s="25"/>
      <c r="E44" s="25"/>
      <c r="F44" s="31" t="s">
        <v>27</v>
      </c>
      <c r="G44" s="33">
        <v>4109000</v>
      </c>
      <c r="H44" s="25"/>
      <c r="I44" s="25"/>
      <c r="J44" s="25"/>
      <c r="K44" s="25"/>
      <c r="L44" s="25"/>
      <c r="M44" s="25"/>
      <c r="N44" s="25"/>
      <c r="O44" s="25"/>
      <c r="P44" s="25"/>
      <c r="Q44" s="25"/>
      <c r="R44" s="25"/>
      <c r="S44" s="26"/>
    </row>
    <row r="45" spans="2:19" x14ac:dyDescent="0.35">
      <c r="B45" s="24"/>
      <c r="C45" s="25"/>
      <c r="D45" s="25"/>
      <c r="E45" s="25"/>
      <c r="F45" s="31" t="s">
        <v>14</v>
      </c>
      <c r="G45" s="33">
        <v>9153950</v>
      </c>
      <c r="H45" s="25"/>
      <c r="I45" s="25"/>
      <c r="J45" s="25"/>
      <c r="K45" s="25"/>
      <c r="L45" s="25"/>
      <c r="M45" s="25"/>
      <c r="N45" s="25"/>
      <c r="O45" s="25"/>
      <c r="P45" s="25"/>
      <c r="Q45" s="25"/>
      <c r="R45" s="25"/>
      <c r="S45" s="26"/>
    </row>
    <row r="46" spans="2:19" x14ac:dyDescent="0.35">
      <c r="B46" s="24"/>
      <c r="C46" s="25"/>
      <c r="D46" s="25"/>
      <c r="E46" s="25"/>
      <c r="F46" s="35" t="s">
        <v>132</v>
      </c>
      <c r="G46" s="37">
        <v>17148250</v>
      </c>
      <c r="H46" s="25"/>
      <c r="I46" s="25"/>
      <c r="J46" s="25"/>
      <c r="K46" s="25"/>
      <c r="L46" s="25"/>
      <c r="M46" s="25"/>
      <c r="N46" s="25"/>
      <c r="O46" s="25"/>
      <c r="P46" s="25"/>
      <c r="Q46" s="25"/>
      <c r="R46" s="25"/>
      <c r="S46" s="26"/>
    </row>
    <row r="47" spans="2:19" x14ac:dyDescent="0.35">
      <c r="B47" s="24"/>
      <c r="C47" s="25"/>
      <c r="D47" s="25"/>
      <c r="E47" s="25"/>
      <c r="F47" s="25"/>
      <c r="G47" s="25"/>
      <c r="H47" s="25"/>
      <c r="I47" s="25"/>
      <c r="J47" s="25"/>
      <c r="K47" s="25"/>
      <c r="L47" s="25"/>
      <c r="M47" s="25"/>
      <c r="N47" s="25"/>
      <c r="O47" s="25"/>
      <c r="P47" s="25"/>
      <c r="Q47" s="25"/>
      <c r="R47" s="25"/>
      <c r="S47" s="26"/>
    </row>
    <row r="48" spans="2:19" x14ac:dyDescent="0.35">
      <c r="B48" s="24"/>
      <c r="C48" s="25"/>
      <c r="D48" s="25"/>
      <c r="E48" s="25"/>
      <c r="F48" s="25"/>
      <c r="G48" s="25"/>
      <c r="H48" s="25"/>
      <c r="I48" s="25"/>
      <c r="J48" s="25"/>
      <c r="K48" s="25"/>
      <c r="L48" s="25"/>
      <c r="M48" s="25"/>
      <c r="N48" s="25"/>
      <c r="O48" s="25"/>
      <c r="P48" s="25"/>
      <c r="Q48" s="25"/>
      <c r="R48" s="25"/>
      <c r="S48" s="26"/>
    </row>
    <row r="49" spans="2:19" x14ac:dyDescent="0.35">
      <c r="B49" s="24"/>
      <c r="C49" s="25"/>
      <c r="D49" s="25"/>
      <c r="E49" s="25"/>
      <c r="F49" s="25"/>
      <c r="G49" s="25"/>
      <c r="H49" s="25"/>
      <c r="I49" s="25"/>
      <c r="J49" s="25"/>
      <c r="K49" s="25"/>
      <c r="L49" s="25"/>
      <c r="M49" s="25"/>
      <c r="N49" s="25"/>
      <c r="O49" s="25"/>
      <c r="P49" s="25"/>
      <c r="Q49" s="25"/>
      <c r="R49" s="25"/>
      <c r="S49" s="26"/>
    </row>
    <row r="50" spans="2:19" x14ac:dyDescent="0.35">
      <c r="B50" s="24"/>
      <c r="C50" s="25"/>
      <c r="D50" s="25"/>
      <c r="E50" s="25"/>
      <c r="F50" s="25"/>
      <c r="G50" s="25"/>
      <c r="H50" s="25"/>
      <c r="I50" s="25"/>
      <c r="J50" s="25"/>
      <c r="K50" s="25"/>
      <c r="L50" s="25"/>
      <c r="M50" s="25"/>
      <c r="N50" s="25"/>
      <c r="O50" s="25"/>
      <c r="P50" s="25"/>
      <c r="Q50" s="25"/>
      <c r="R50" s="25"/>
      <c r="S50" s="26"/>
    </row>
    <row r="51" spans="2:19" x14ac:dyDescent="0.35">
      <c r="B51" s="24"/>
      <c r="C51" s="25"/>
      <c r="D51" s="25"/>
      <c r="E51" s="25"/>
      <c r="F51" s="25"/>
      <c r="G51" s="25"/>
      <c r="H51" s="25"/>
      <c r="I51" s="25"/>
      <c r="J51" s="25"/>
      <c r="K51" s="25"/>
      <c r="L51" s="25"/>
      <c r="M51" s="25"/>
      <c r="N51" s="25"/>
      <c r="O51" s="25"/>
      <c r="P51" s="25"/>
      <c r="Q51" s="25"/>
      <c r="R51" s="25"/>
      <c r="S51" s="26"/>
    </row>
    <row r="52" spans="2:19" x14ac:dyDescent="0.35">
      <c r="B52" s="24"/>
      <c r="C52" s="25"/>
      <c r="D52" s="25"/>
      <c r="E52" s="25"/>
      <c r="F52" s="25"/>
      <c r="G52" s="25"/>
      <c r="H52" s="25"/>
      <c r="I52" s="25"/>
      <c r="J52" s="25"/>
      <c r="K52" s="25"/>
      <c r="L52" s="25"/>
      <c r="M52" s="25"/>
      <c r="N52" s="25"/>
      <c r="O52" s="25"/>
      <c r="P52" s="25"/>
      <c r="Q52" s="25"/>
      <c r="R52" s="25"/>
      <c r="S52" s="26"/>
    </row>
    <row r="53" spans="2:19" x14ac:dyDescent="0.35">
      <c r="B53" s="24"/>
      <c r="C53" s="25"/>
      <c r="D53" s="25"/>
      <c r="E53" s="25"/>
      <c r="F53" s="25"/>
      <c r="G53" s="25"/>
      <c r="H53" s="25"/>
      <c r="I53" s="25"/>
      <c r="J53" s="25"/>
      <c r="K53" s="25"/>
      <c r="L53" s="25"/>
      <c r="M53" s="25"/>
      <c r="N53" s="25"/>
      <c r="O53" s="25"/>
      <c r="P53" s="25"/>
      <c r="Q53" s="25"/>
      <c r="R53" s="25"/>
      <c r="S53" s="26"/>
    </row>
    <row r="54" spans="2:19" x14ac:dyDescent="0.35">
      <c r="B54" s="24"/>
      <c r="C54" s="25"/>
      <c r="D54" s="25"/>
      <c r="E54" s="25"/>
      <c r="F54" s="25"/>
      <c r="G54" s="25"/>
      <c r="H54" s="25"/>
      <c r="I54" s="25"/>
      <c r="J54" s="25"/>
      <c r="K54" s="25"/>
      <c r="L54" s="25"/>
      <c r="M54" s="25"/>
      <c r="N54" s="25"/>
      <c r="O54" s="25"/>
      <c r="P54" s="25"/>
      <c r="Q54" s="25"/>
      <c r="R54" s="25"/>
      <c r="S54" s="26"/>
    </row>
    <row r="55" spans="2:19" x14ac:dyDescent="0.35">
      <c r="B55" s="24"/>
      <c r="C55" s="25"/>
      <c r="D55" s="25"/>
      <c r="E55" s="25"/>
      <c r="F55" s="25"/>
      <c r="G55" s="25"/>
      <c r="H55" s="25"/>
      <c r="I55" s="25"/>
      <c r="J55" s="25"/>
      <c r="K55" s="25"/>
      <c r="L55" s="25"/>
      <c r="M55" s="25"/>
      <c r="N55" s="25"/>
      <c r="O55" s="25"/>
      <c r="P55" s="25"/>
      <c r="Q55" s="25"/>
      <c r="R55" s="25"/>
      <c r="S55" s="26"/>
    </row>
    <row r="56" spans="2:19" x14ac:dyDescent="0.35">
      <c r="B56" s="24"/>
      <c r="C56" s="25"/>
      <c r="D56" s="25"/>
      <c r="E56" s="25"/>
      <c r="F56" s="25"/>
      <c r="G56" s="25"/>
      <c r="H56" s="25"/>
      <c r="I56" s="25"/>
      <c r="J56" s="25"/>
      <c r="K56" s="25"/>
      <c r="L56" s="25"/>
      <c r="M56" s="25"/>
      <c r="N56" s="25"/>
      <c r="O56" s="25"/>
      <c r="P56" s="25"/>
      <c r="Q56" s="25"/>
      <c r="R56" s="25"/>
      <c r="S56" s="26"/>
    </row>
    <row r="57" spans="2:19" ht="14.5" customHeight="1" x14ac:dyDescent="0.35">
      <c r="B57" s="24"/>
      <c r="C57" s="25"/>
      <c r="D57" s="25"/>
      <c r="E57" s="86" t="s">
        <v>171</v>
      </c>
      <c r="F57" s="87"/>
      <c r="G57" s="87"/>
      <c r="H57" s="87"/>
      <c r="I57" s="87"/>
      <c r="J57" s="87"/>
      <c r="K57" s="87"/>
      <c r="L57" s="87"/>
      <c r="M57" s="87"/>
      <c r="N57" s="88"/>
      <c r="O57" s="25"/>
      <c r="P57" s="25"/>
      <c r="Q57" s="25"/>
      <c r="R57" s="25"/>
      <c r="S57" s="26"/>
    </row>
    <row r="58" spans="2:19" x14ac:dyDescent="0.35">
      <c r="B58" s="24"/>
      <c r="C58" s="25"/>
      <c r="D58" s="25"/>
      <c r="E58" s="89"/>
      <c r="F58" s="90"/>
      <c r="G58" s="90"/>
      <c r="H58" s="90"/>
      <c r="I58" s="90"/>
      <c r="J58" s="90"/>
      <c r="K58" s="90"/>
      <c r="L58" s="90"/>
      <c r="M58" s="90"/>
      <c r="N58" s="91"/>
      <c r="O58" s="25"/>
      <c r="P58" s="25"/>
      <c r="Q58" s="25"/>
      <c r="R58" s="25"/>
      <c r="S58" s="26"/>
    </row>
    <row r="59" spans="2:19" x14ac:dyDescent="0.35">
      <c r="B59" s="24"/>
      <c r="C59" s="25"/>
      <c r="D59" s="25"/>
      <c r="E59" s="89"/>
      <c r="F59" s="90"/>
      <c r="G59" s="90"/>
      <c r="H59" s="90"/>
      <c r="I59" s="90"/>
      <c r="J59" s="90"/>
      <c r="K59" s="90"/>
      <c r="L59" s="90"/>
      <c r="M59" s="90"/>
      <c r="N59" s="91"/>
      <c r="O59" s="25"/>
      <c r="P59" s="25"/>
      <c r="Q59" s="25"/>
      <c r="R59" s="25"/>
      <c r="S59" s="26"/>
    </row>
    <row r="60" spans="2:19" x14ac:dyDescent="0.35">
      <c r="B60" s="24"/>
      <c r="C60" s="25"/>
      <c r="D60" s="25"/>
      <c r="E60" s="89"/>
      <c r="F60" s="90"/>
      <c r="G60" s="90"/>
      <c r="H60" s="90"/>
      <c r="I60" s="90"/>
      <c r="J60" s="90"/>
      <c r="K60" s="90"/>
      <c r="L60" s="90"/>
      <c r="M60" s="90"/>
      <c r="N60" s="91"/>
      <c r="O60" s="25"/>
      <c r="P60" s="25"/>
      <c r="Q60" s="25"/>
      <c r="R60" s="25"/>
      <c r="S60" s="26"/>
    </row>
    <row r="61" spans="2:19" x14ac:dyDescent="0.35">
      <c r="B61" s="24"/>
      <c r="C61" s="25"/>
      <c r="D61" s="25"/>
      <c r="E61" s="89"/>
      <c r="F61" s="90"/>
      <c r="G61" s="90"/>
      <c r="H61" s="90"/>
      <c r="I61" s="90"/>
      <c r="J61" s="90"/>
      <c r="K61" s="90"/>
      <c r="L61" s="90"/>
      <c r="M61" s="90"/>
      <c r="N61" s="91"/>
      <c r="O61" s="25"/>
      <c r="P61" s="25"/>
      <c r="Q61" s="25"/>
      <c r="R61" s="25"/>
      <c r="S61" s="26"/>
    </row>
    <row r="62" spans="2:19" x14ac:dyDescent="0.35">
      <c r="B62" s="24"/>
      <c r="C62" s="25"/>
      <c r="D62" s="25"/>
      <c r="E62" s="89"/>
      <c r="F62" s="90"/>
      <c r="G62" s="90"/>
      <c r="H62" s="90"/>
      <c r="I62" s="90"/>
      <c r="J62" s="90"/>
      <c r="K62" s="90"/>
      <c r="L62" s="90"/>
      <c r="M62" s="90"/>
      <c r="N62" s="91"/>
      <c r="O62" s="25"/>
      <c r="P62" s="25"/>
      <c r="Q62" s="25"/>
      <c r="R62" s="25"/>
      <c r="S62" s="26"/>
    </row>
    <row r="63" spans="2:19" x14ac:dyDescent="0.35">
      <c r="B63" s="24"/>
      <c r="C63" s="25"/>
      <c r="D63" s="25"/>
      <c r="E63" s="92"/>
      <c r="F63" s="93"/>
      <c r="G63" s="93"/>
      <c r="H63" s="93"/>
      <c r="I63" s="93"/>
      <c r="J63" s="93"/>
      <c r="K63" s="93"/>
      <c r="L63" s="93"/>
      <c r="M63" s="93"/>
      <c r="N63" s="94"/>
      <c r="O63" s="25"/>
      <c r="P63" s="25"/>
      <c r="Q63" s="25"/>
      <c r="R63" s="25"/>
      <c r="S63" s="26"/>
    </row>
    <row r="64" spans="2:19" x14ac:dyDescent="0.35">
      <c r="B64" s="24"/>
      <c r="C64" s="25"/>
      <c r="D64" s="25"/>
      <c r="E64" s="96"/>
      <c r="F64" s="96"/>
      <c r="G64" s="96"/>
      <c r="H64" s="96"/>
      <c r="I64" s="96"/>
      <c r="J64" s="96"/>
      <c r="K64" s="96"/>
      <c r="L64" s="96"/>
      <c r="M64" s="96"/>
      <c r="N64" s="96"/>
      <c r="O64" s="25"/>
      <c r="P64" s="25"/>
      <c r="Q64" s="25"/>
      <c r="R64" s="25"/>
      <c r="S64" s="26"/>
    </row>
    <row r="65" spans="2:19" x14ac:dyDescent="0.35">
      <c r="B65" s="27"/>
      <c r="C65" s="28"/>
      <c r="D65" s="28"/>
      <c r="E65" s="95"/>
      <c r="F65" s="95"/>
      <c r="G65" s="95"/>
      <c r="H65" s="95"/>
      <c r="I65" s="95"/>
      <c r="J65" s="95"/>
      <c r="K65" s="95"/>
      <c r="L65" s="95"/>
      <c r="M65" s="95"/>
      <c r="N65" s="95"/>
      <c r="O65" s="28"/>
      <c r="P65" s="28"/>
      <c r="Q65" s="28"/>
      <c r="R65" s="28"/>
      <c r="S65" s="29"/>
    </row>
  </sheetData>
  <mergeCells count="4">
    <mergeCell ref="E23:N32"/>
    <mergeCell ref="E3:N3"/>
    <mergeCell ref="E37:N37"/>
    <mergeCell ref="E57:N63"/>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C1C0-C5D5-4747-9141-DF021FDF8D83}">
  <dimension ref="B2:P37"/>
  <sheetViews>
    <sheetView workbookViewId="0"/>
  </sheetViews>
  <sheetFormatPr defaultRowHeight="14.5" x14ac:dyDescent="0.35"/>
  <cols>
    <col min="4" max="4" width="11.54296875" customWidth="1"/>
  </cols>
  <sheetData>
    <row r="2" spans="2:16" s="19" customFormat="1" x14ac:dyDescent="0.35">
      <c r="B2" s="21"/>
      <c r="C2" s="22"/>
      <c r="D2" s="22"/>
      <c r="E2" s="22"/>
      <c r="F2" s="22"/>
      <c r="G2" s="22"/>
      <c r="H2" s="22"/>
      <c r="I2" s="22"/>
      <c r="J2" s="22"/>
      <c r="K2" s="22"/>
      <c r="L2" s="22"/>
      <c r="M2" s="22"/>
      <c r="N2" s="22"/>
      <c r="O2" s="22"/>
      <c r="P2" s="23"/>
    </row>
    <row r="3" spans="2:16" x14ac:dyDescent="0.35">
      <c r="B3" s="24"/>
      <c r="C3" s="25"/>
      <c r="D3" s="25"/>
      <c r="E3" s="25"/>
      <c r="F3" s="25"/>
      <c r="G3" s="25"/>
      <c r="H3" s="25"/>
      <c r="I3" s="25"/>
      <c r="J3" s="25"/>
      <c r="K3" s="25"/>
      <c r="L3" s="25"/>
      <c r="M3" s="25"/>
      <c r="N3" s="25"/>
      <c r="O3" s="25"/>
      <c r="P3" s="26"/>
    </row>
    <row r="4" spans="2:16" ht="17.5" x14ac:dyDescent="0.35">
      <c r="B4" s="24"/>
      <c r="C4" s="25"/>
      <c r="D4" s="25"/>
      <c r="E4" s="25"/>
      <c r="F4" s="104" t="s">
        <v>172</v>
      </c>
      <c r="G4" s="105"/>
      <c r="H4" s="105"/>
      <c r="I4" s="105"/>
      <c r="J4" s="105"/>
      <c r="K4" s="105"/>
      <c r="L4" s="106"/>
      <c r="M4" s="25"/>
      <c r="N4" s="25"/>
      <c r="O4" s="25"/>
      <c r="P4" s="26"/>
    </row>
    <row r="5" spans="2:16" x14ac:dyDescent="0.35">
      <c r="B5" s="24"/>
      <c r="C5" s="98"/>
      <c r="D5" s="25"/>
      <c r="E5" s="25"/>
      <c r="F5" s="25"/>
      <c r="G5" s="25"/>
      <c r="H5" s="25"/>
      <c r="I5" s="25"/>
      <c r="J5" s="25"/>
      <c r="K5" s="25"/>
      <c r="L5" s="25"/>
      <c r="M5" s="25"/>
      <c r="N5" s="25"/>
      <c r="O5" s="25"/>
      <c r="P5" s="26"/>
    </row>
    <row r="6" spans="2:16" x14ac:dyDescent="0.35">
      <c r="B6" s="24"/>
      <c r="C6" s="99" t="s">
        <v>173</v>
      </c>
      <c r="D6" s="99"/>
      <c r="E6" s="100"/>
      <c r="F6" s="25"/>
      <c r="G6" s="25"/>
      <c r="H6" s="25"/>
      <c r="I6" s="25"/>
      <c r="J6" s="25"/>
      <c r="K6" s="25"/>
      <c r="L6" s="25"/>
      <c r="M6" s="25"/>
      <c r="N6" s="25"/>
      <c r="O6" s="25"/>
      <c r="P6" s="26"/>
    </row>
    <row r="7" spans="2:16" ht="14.5" customHeight="1" x14ac:dyDescent="0.35">
      <c r="B7" s="24"/>
      <c r="C7" s="25"/>
      <c r="D7" s="63" t="s">
        <v>174</v>
      </c>
      <c r="E7" s="63"/>
      <c r="F7" s="63"/>
      <c r="G7" s="63"/>
      <c r="H7" s="63"/>
      <c r="I7" s="63"/>
      <c r="J7" s="63"/>
      <c r="K7" s="63"/>
      <c r="L7" s="63"/>
      <c r="M7" s="63"/>
      <c r="N7" s="63"/>
      <c r="O7" s="63"/>
      <c r="P7" s="26"/>
    </row>
    <row r="8" spans="2:16" x14ac:dyDescent="0.35">
      <c r="B8" s="24"/>
      <c r="C8" s="64"/>
      <c r="D8" s="63"/>
      <c r="E8" s="63"/>
      <c r="F8" s="63"/>
      <c r="G8" s="63"/>
      <c r="H8" s="63"/>
      <c r="I8" s="63"/>
      <c r="J8" s="63"/>
      <c r="K8" s="63"/>
      <c r="L8" s="63"/>
      <c r="M8" s="63"/>
      <c r="N8" s="63"/>
      <c r="O8" s="63"/>
      <c r="P8" s="26"/>
    </row>
    <row r="9" spans="2:16" x14ac:dyDescent="0.35">
      <c r="B9" s="24"/>
      <c r="C9" s="64"/>
      <c r="D9" s="64"/>
      <c r="E9" s="64"/>
      <c r="F9" s="64"/>
      <c r="G9" s="64"/>
      <c r="H9" s="64"/>
      <c r="I9" s="64"/>
      <c r="J9" s="64"/>
      <c r="K9" s="64"/>
      <c r="L9" s="64"/>
      <c r="M9" s="64"/>
      <c r="N9" s="64"/>
      <c r="O9" s="64"/>
      <c r="P9" s="26"/>
    </row>
    <row r="10" spans="2:16" x14ac:dyDescent="0.35">
      <c r="B10" s="24"/>
      <c r="C10" s="101" t="s">
        <v>175</v>
      </c>
      <c r="D10" s="101"/>
      <c r="E10" s="25"/>
      <c r="F10" s="25"/>
      <c r="G10" s="25"/>
      <c r="H10" s="25"/>
      <c r="I10" s="25"/>
      <c r="J10" s="25"/>
      <c r="K10" s="25"/>
      <c r="L10" s="25"/>
      <c r="M10" s="25"/>
      <c r="N10" s="25"/>
      <c r="O10" s="25"/>
      <c r="P10" s="26"/>
    </row>
    <row r="11" spans="2:16" x14ac:dyDescent="0.35">
      <c r="B11" s="24"/>
      <c r="C11" s="25"/>
      <c r="D11" s="62" t="s">
        <v>176</v>
      </c>
      <c r="E11" s="62"/>
      <c r="F11" s="62"/>
      <c r="G11" s="62"/>
      <c r="H11" s="62"/>
      <c r="I11" s="62"/>
      <c r="J11" s="62"/>
      <c r="K11" s="62"/>
      <c r="L11" s="62"/>
      <c r="M11" s="62"/>
      <c r="N11" s="62"/>
      <c r="O11" s="62"/>
      <c r="P11" s="26"/>
    </row>
    <row r="12" spans="2:16" x14ac:dyDescent="0.35">
      <c r="B12" s="24"/>
      <c r="C12" s="25"/>
      <c r="D12" s="63" t="s">
        <v>177</v>
      </c>
      <c r="E12" s="102"/>
      <c r="F12" s="102"/>
      <c r="G12" s="102"/>
      <c r="H12" s="102"/>
      <c r="I12" s="102"/>
      <c r="J12" s="102"/>
      <c r="K12" s="102"/>
      <c r="L12" s="102"/>
      <c r="M12" s="102"/>
      <c r="N12" s="102"/>
      <c r="O12" s="102"/>
      <c r="P12" s="26"/>
    </row>
    <row r="13" spans="2:16" x14ac:dyDescent="0.35">
      <c r="B13" s="24"/>
      <c r="C13" s="25"/>
      <c r="D13" s="102"/>
      <c r="E13" s="102"/>
      <c r="F13" s="102"/>
      <c r="G13" s="102"/>
      <c r="H13" s="102"/>
      <c r="I13" s="102"/>
      <c r="J13" s="102"/>
      <c r="K13" s="102"/>
      <c r="L13" s="102"/>
      <c r="M13" s="102"/>
      <c r="N13" s="102"/>
      <c r="O13" s="102"/>
      <c r="P13" s="26"/>
    </row>
    <row r="14" spans="2:16" x14ac:dyDescent="0.35">
      <c r="B14" s="24"/>
      <c r="C14" s="25"/>
      <c r="D14" s="25"/>
      <c r="E14" s="25"/>
      <c r="F14" s="25"/>
      <c r="G14" s="25"/>
      <c r="H14" s="25"/>
      <c r="I14" s="25"/>
      <c r="J14" s="25"/>
      <c r="K14" s="25"/>
      <c r="L14" s="25"/>
      <c r="M14" s="25"/>
      <c r="N14" s="25"/>
      <c r="O14" s="25"/>
      <c r="P14" s="26"/>
    </row>
    <row r="15" spans="2:16" x14ac:dyDescent="0.35">
      <c r="B15" s="24"/>
      <c r="C15" s="103" t="s">
        <v>178</v>
      </c>
      <c r="D15" s="103"/>
      <c r="E15" s="25"/>
      <c r="F15" s="25"/>
      <c r="G15" s="25"/>
      <c r="H15" s="25"/>
      <c r="I15" s="25"/>
      <c r="J15" s="25"/>
      <c r="K15" s="25"/>
      <c r="L15" s="25"/>
      <c r="M15" s="25"/>
      <c r="N15" s="25"/>
      <c r="O15" s="25"/>
      <c r="P15" s="26"/>
    </row>
    <row r="16" spans="2:16" x14ac:dyDescent="0.35">
      <c r="B16" s="24"/>
      <c r="C16" s="25"/>
      <c r="D16" s="102" t="s">
        <v>179</v>
      </c>
      <c r="E16" s="102"/>
      <c r="F16" s="102"/>
      <c r="G16" s="102"/>
      <c r="H16" s="102"/>
      <c r="I16" s="102"/>
      <c r="J16" s="102"/>
      <c r="K16" s="102"/>
      <c r="L16" s="102"/>
      <c r="M16" s="102"/>
      <c r="N16" s="102"/>
      <c r="O16" s="102"/>
      <c r="P16" s="26"/>
    </row>
    <row r="17" spans="2:16" x14ac:dyDescent="0.35">
      <c r="B17" s="24"/>
      <c r="C17" s="25"/>
      <c r="D17" s="63" t="s">
        <v>180</v>
      </c>
      <c r="E17" s="102"/>
      <c r="F17" s="102"/>
      <c r="G17" s="102"/>
      <c r="H17" s="102"/>
      <c r="I17" s="102"/>
      <c r="J17" s="102"/>
      <c r="K17" s="102"/>
      <c r="L17" s="102"/>
      <c r="M17" s="102"/>
      <c r="N17" s="102"/>
      <c r="O17" s="102"/>
      <c r="P17" s="26"/>
    </row>
    <row r="18" spans="2:16" x14ac:dyDescent="0.35">
      <c r="B18" s="24"/>
      <c r="C18" s="25"/>
      <c r="D18" s="102"/>
      <c r="E18" s="102"/>
      <c r="F18" s="102"/>
      <c r="G18" s="102"/>
      <c r="H18" s="102"/>
      <c r="I18" s="102"/>
      <c r="J18" s="102"/>
      <c r="K18" s="102"/>
      <c r="L18" s="102"/>
      <c r="M18" s="102"/>
      <c r="N18" s="102"/>
      <c r="O18" s="102"/>
      <c r="P18" s="26"/>
    </row>
    <row r="19" spans="2:16" x14ac:dyDescent="0.35">
      <c r="B19" s="24"/>
      <c r="C19" s="25"/>
      <c r="D19" s="25"/>
      <c r="E19" s="25"/>
      <c r="F19" s="25"/>
      <c r="G19" s="25"/>
      <c r="H19" s="25"/>
      <c r="I19" s="25"/>
      <c r="J19" s="25"/>
      <c r="K19" s="25"/>
      <c r="L19" s="25"/>
      <c r="M19" s="25"/>
      <c r="N19" s="25"/>
      <c r="O19" s="25"/>
      <c r="P19" s="26"/>
    </row>
    <row r="20" spans="2:16" x14ac:dyDescent="0.35">
      <c r="B20" s="24"/>
      <c r="C20" s="103" t="s">
        <v>181</v>
      </c>
      <c r="D20" s="103"/>
      <c r="E20" s="25"/>
      <c r="F20" s="25"/>
      <c r="G20" s="25"/>
      <c r="H20" s="25"/>
      <c r="I20" s="25"/>
      <c r="J20" s="25"/>
      <c r="K20" s="25"/>
      <c r="L20" s="25"/>
      <c r="M20" s="25"/>
      <c r="N20" s="25"/>
      <c r="O20" s="25"/>
      <c r="P20" s="26"/>
    </row>
    <row r="21" spans="2:16" x14ac:dyDescent="0.35">
      <c r="B21" s="24"/>
      <c r="C21" s="25"/>
      <c r="D21" s="102" t="s">
        <v>182</v>
      </c>
      <c r="E21" s="102"/>
      <c r="F21" s="102"/>
      <c r="G21" s="102"/>
      <c r="H21" s="102"/>
      <c r="I21" s="102"/>
      <c r="J21" s="102"/>
      <c r="K21" s="102"/>
      <c r="L21" s="102"/>
      <c r="M21" s="102"/>
      <c r="N21" s="102"/>
      <c r="O21" s="102"/>
      <c r="P21" s="26"/>
    </row>
    <row r="22" spans="2:16" x14ac:dyDescent="0.35">
      <c r="B22" s="24"/>
      <c r="C22" s="25"/>
      <c r="D22" s="102" t="s">
        <v>183</v>
      </c>
      <c r="E22" s="102"/>
      <c r="F22" s="102"/>
      <c r="G22" s="102"/>
      <c r="H22" s="102"/>
      <c r="I22" s="102"/>
      <c r="J22" s="102"/>
      <c r="K22" s="102"/>
      <c r="L22" s="102"/>
      <c r="M22" s="102"/>
      <c r="N22" s="102"/>
      <c r="O22" s="102"/>
      <c r="P22" s="26"/>
    </row>
    <row r="23" spans="2:16" x14ac:dyDescent="0.35">
      <c r="B23" s="24"/>
      <c r="C23" s="25"/>
      <c r="D23" s="25"/>
      <c r="E23" s="25"/>
      <c r="F23" s="25"/>
      <c r="G23" s="25"/>
      <c r="H23" s="25"/>
      <c r="I23" s="25"/>
      <c r="J23" s="25"/>
      <c r="K23" s="25"/>
      <c r="L23" s="25"/>
      <c r="M23" s="25"/>
      <c r="N23" s="25"/>
      <c r="O23" s="25"/>
      <c r="P23" s="26"/>
    </row>
    <row r="24" spans="2:16" x14ac:dyDescent="0.35">
      <c r="B24" s="24"/>
      <c r="C24" s="103" t="s">
        <v>184</v>
      </c>
      <c r="D24" s="103"/>
      <c r="E24" s="103"/>
      <c r="F24" s="103"/>
      <c r="G24" s="25"/>
      <c r="H24" s="25"/>
      <c r="I24" s="25"/>
      <c r="J24" s="25"/>
      <c r="K24" s="25"/>
      <c r="L24" s="25"/>
      <c r="M24" s="25"/>
      <c r="N24" s="25"/>
      <c r="O24" s="25"/>
      <c r="P24" s="26"/>
    </row>
    <row r="25" spans="2:16" x14ac:dyDescent="0.35">
      <c r="B25" s="24"/>
      <c r="C25" s="25"/>
      <c r="D25" s="63" t="s">
        <v>185</v>
      </c>
      <c r="E25" s="102"/>
      <c r="F25" s="102"/>
      <c r="G25" s="102"/>
      <c r="H25" s="102"/>
      <c r="I25" s="102"/>
      <c r="J25" s="102"/>
      <c r="K25" s="102"/>
      <c r="L25" s="102"/>
      <c r="M25" s="102"/>
      <c r="N25" s="102"/>
      <c r="O25" s="102"/>
      <c r="P25" s="26"/>
    </row>
    <row r="26" spans="2:16" x14ac:dyDescent="0.35">
      <c r="B26" s="24"/>
      <c r="C26" s="25"/>
      <c r="D26" s="102"/>
      <c r="E26" s="102"/>
      <c r="F26" s="102"/>
      <c r="G26" s="102"/>
      <c r="H26" s="102"/>
      <c r="I26" s="102"/>
      <c r="J26" s="102"/>
      <c r="K26" s="102"/>
      <c r="L26" s="102"/>
      <c r="M26" s="102"/>
      <c r="N26" s="102"/>
      <c r="O26" s="102"/>
      <c r="P26" s="26"/>
    </row>
    <row r="27" spans="2:16" x14ac:dyDescent="0.35">
      <c r="B27" s="24"/>
      <c r="C27" s="25"/>
      <c r="D27" s="63" t="s">
        <v>186</v>
      </c>
      <c r="E27" s="102"/>
      <c r="F27" s="102"/>
      <c r="G27" s="102"/>
      <c r="H27" s="102"/>
      <c r="I27" s="102"/>
      <c r="J27" s="102"/>
      <c r="K27" s="102"/>
      <c r="L27" s="102"/>
      <c r="M27" s="102"/>
      <c r="N27" s="102"/>
      <c r="O27" s="102"/>
      <c r="P27" s="26"/>
    </row>
    <row r="28" spans="2:16" x14ac:dyDescent="0.35">
      <c r="B28" s="24"/>
      <c r="C28" s="25"/>
      <c r="D28" s="102"/>
      <c r="E28" s="102"/>
      <c r="F28" s="102"/>
      <c r="G28" s="102"/>
      <c r="H28" s="102"/>
      <c r="I28" s="102"/>
      <c r="J28" s="102"/>
      <c r="K28" s="102"/>
      <c r="L28" s="102"/>
      <c r="M28" s="102"/>
      <c r="N28" s="102"/>
      <c r="O28" s="102"/>
      <c r="P28" s="26"/>
    </row>
    <row r="29" spans="2:16" x14ac:dyDescent="0.35">
      <c r="B29" s="24"/>
      <c r="C29" s="25"/>
      <c r="D29" s="25"/>
      <c r="E29" s="25"/>
      <c r="F29" s="25"/>
      <c r="G29" s="25"/>
      <c r="H29" s="25"/>
      <c r="I29" s="25"/>
      <c r="J29" s="25"/>
      <c r="K29" s="25"/>
      <c r="L29" s="25"/>
      <c r="M29" s="25"/>
      <c r="N29" s="25"/>
      <c r="O29" s="25"/>
      <c r="P29" s="26"/>
    </row>
    <row r="30" spans="2:16" x14ac:dyDescent="0.35">
      <c r="B30" s="24"/>
      <c r="C30" s="25"/>
      <c r="D30" s="25"/>
      <c r="E30" s="25"/>
      <c r="F30" s="25"/>
      <c r="G30" s="25"/>
      <c r="H30" s="107" t="s">
        <v>187</v>
      </c>
      <c r="I30" s="108"/>
      <c r="J30" s="109"/>
      <c r="K30" s="25"/>
      <c r="L30" s="25"/>
      <c r="M30" s="25"/>
      <c r="N30" s="25"/>
      <c r="O30" s="25"/>
      <c r="P30" s="26"/>
    </row>
    <row r="31" spans="2:16" x14ac:dyDescent="0.35">
      <c r="B31" s="24"/>
      <c r="C31" s="25"/>
      <c r="D31" s="25"/>
      <c r="E31" s="25"/>
      <c r="F31" s="25"/>
      <c r="G31" s="25"/>
      <c r="H31" s="25"/>
      <c r="I31" s="25"/>
      <c r="J31" s="25"/>
      <c r="K31" s="25"/>
      <c r="L31" s="25"/>
      <c r="M31" s="25"/>
      <c r="N31" s="25"/>
      <c r="O31" s="25"/>
      <c r="P31" s="26"/>
    </row>
    <row r="32" spans="2:16" x14ac:dyDescent="0.35">
      <c r="B32" s="24"/>
      <c r="C32" s="25"/>
      <c r="D32" s="63" t="s">
        <v>188</v>
      </c>
      <c r="E32" s="102"/>
      <c r="F32" s="102"/>
      <c r="G32" s="102"/>
      <c r="H32" s="102"/>
      <c r="I32" s="102"/>
      <c r="J32" s="102"/>
      <c r="K32" s="102"/>
      <c r="L32" s="102"/>
      <c r="M32" s="102"/>
      <c r="N32" s="102"/>
      <c r="O32" s="102"/>
      <c r="P32" s="26"/>
    </row>
    <row r="33" spans="2:16" x14ac:dyDescent="0.35">
      <c r="B33" s="24"/>
      <c r="C33" s="25"/>
      <c r="D33" s="102"/>
      <c r="E33" s="102"/>
      <c r="F33" s="102"/>
      <c r="G33" s="102"/>
      <c r="H33" s="102"/>
      <c r="I33" s="102"/>
      <c r="J33" s="102"/>
      <c r="K33" s="102"/>
      <c r="L33" s="102"/>
      <c r="M33" s="102"/>
      <c r="N33" s="102"/>
      <c r="O33" s="102"/>
      <c r="P33" s="26"/>
    </row>
    <row r="34" spans="2:16" x14ac:dyDescent="0.35">
      <c r="B34" s="24"/>
      <c r="C34" s="25"/>
      <c r="D34" s="102"/>
      <c r="E34" s="102"/>
      <c r="F34" s="102"/>
      <c r="G34" s="102"/>
      <c r="H34" s="102"/>
      <c r="I34" s="102"/>
      <c r="J34" s="102"/>
      <c r="K34" s="102"/>
      <c r="L34" s="102"/>
      <c r="M34" s="102"/>
      <c r="N34" s="102"/>
      <c r="O34" s="102"/>
      <c r="P34" s="26"/>
    </row>
    <row r="35" spans="2:16" x14ac:dyDescent="0.35">
      <c r="B35" s="24"/>
      <c r="C35" s="25"/>
      <c r="D35" s="25"/>
      <c r="E35" s="25"/>
      <c r="F35" s="25"/>
      <c r="G35" s="25"/>
      <c r="H35" s="25"/>
      <c r="I35" s="25"/>
      <c r="J35" s="25"/>
      <c r="K35" s="25"/>
      <c r="L35" s="25"/>
      <c r="M35" s="25"/>
      <c r="N35" s="25"/>
      <c r="O35" s="25"/>
      <c r="P35" s="26"/>
    </row>
    <row r="36" spans="2:16" x14ac:dyDescent="0.35">
      <c r="B36" s="24"/>
      <c r="C36" s="25"/>
      <c r="D36" s="25"/>
      <c r="E36" s="25"/>
      <c r="F36" s="25"/>
      <c r="G36" s="25"/>
      <c r="H36" s="25"/>
      <c r="I36" s="25"/>
      <c r="J36" s="25"/>
      <c r="K36" s="25"/>
      <c r="L36" s="25"/>
      <c r="M36" s="25"/>
      <c r="N36" s="25"/>
      <c r="O36" s="25"/>
      <c r="P36" s="26"/>
    </row>
    <row r="37" spans="2:16" x14ac:dyDescent="0.35">
      <c r="B37" s="27"/>
      <c r="C37" s="28"/>
      <c r="D37" s="28"/>
      <c r="E37" s="28"/>
      <c r="F37" s="28"/>
      <c r="G37" s="28"/>
      <c r="H37" s="28"/>
      <c r="I37" s="28"/>
      <c r="J37" s="28"/>
      <c r="K37" s="28"/>
      <c r="L37" s="28"/>
      <c r="M37" s="28"/>
      <c r="N37" s="28"/>
      <c r="O37" s="28"/>
      <c r="P37" s="29"/>
    </row>
  </sheetData>
  <mergeCells count="17">
    <mergeCell ref="D25:O26"/>
    <mergeCell ref="D27:O28"/>
    <mergeCell ref="H30:J30"/>
    <mergeCell ref="D32:O34"/>
    <mergeCell ref="D16:O16"/>
    <mergeCell ref="D17:O18"/>
    <mergeCell ref="C20:D20"/>
    <mergeCell ref="D21:O21"/>
    <mergeCell ref="D22:O22"/>
    <mergeCell ref="C24:F24"/>
    <mergeCell ref="C10:D10"/>
    <mergeCell ref="D11:O11"/>
    <mergeCell ref="D12:O13"/>
    <mergeCell ref="C15:D15"/>
    <mergeCell ref="F4:L4"/>
    <mergeCell ref="C6:D6"/>
    <mergeCell ref="D7:O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Problem Statement</vt:lpstr>
      <vt:lpstr>Data</vt:lpstr>
      <vt:lpstr>Basic Analysis</vt:lpstr>
      <vt:lpstr>Intermediar Analysis</vt:lpstr>
      <vt:lpstr>Advanvce Analysis</vt:lpstr>
      <vt:lpstr>Final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Anjali Mishra</cp:lastModifiedBy>
  <dcterms:created xsi:type="dcterms:W3CDTF">2022-04-21T14:05:43Z</dcterms:created>
  <dcterms:modified xsi:type="dcterms:W3CDTF">2025-10-31T19:42:50Z</dcterms:modified>
</cp:coreProperties>
</file>